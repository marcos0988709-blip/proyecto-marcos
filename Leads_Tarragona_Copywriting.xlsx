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'Leads'!$A$1:$K$90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4629328606" TargetMode="External" Id="rId1"/><Relationship Type="http://schemas.openxmlformats.org/officeDocument/2006/relationships/hyperlink" Target="https://wa.me/34671962498" TargetMode="External" Id="rId2"/><Relationship Type="http://schemas.openxmlformats.org/officeDocument/2006/relationships/hyperlink" Target="https://wa.me/34613545945" TargetMode="External" Id="rId3"/><Relationship Type="http://schemas.openxmlformats.org/officeDocument/2006/relationships/hyperlink" Target="https://wa.me/34646743410" TargetMode="External" Id="rId4"/><Relationship Type="http://schemas.openxmlformats.org/officeDocument/2006/relationships/hyperlink" Target="https://wa.me/34618448233" TargetMode="External" Id="rId5"/><Relationship Type="http://schemas.openxmlformats.org/officeDocument/2006/relationships/hyperlink" Target="https://wa.me/34615232900" TargetMode="External" Id="rId6"/><Relationship Type="http://schemas.openxmlformats.org/officeDocument/2006/relationships/hyperlink" Target="https://wa.me/34635054064" TargetMode="External" Id="rId7"/><Relationship Type="http://schemas.openxmlformats.org/officeDocument/2006/relationships/hyperlink" Target="https://wa.me/34659103572" TargetMode="External" Id="rId8"/><Relationship Type="http://schemas.openxmlformats.org/officeDocument/2006/relationships/hyperlink" Target="https://wa.me/34644646221" TargetMode="External" Id="rId9"/><Relationship Type="http://schemas.openxmlformats.org/officeDocument/2006/relationships/hyperlink" Target="https://wa.me/34607230701" TargetMode="External" Id="rId10"/><Relationship Type="http://schemas.openxmlformats.org/officeDocument/2006/relationships/hyperlink" Target="https://wa.me/34654075638" TargetMode="External" Id="rId11"/><Relationship Type="http://schemas.openxmlformats.org/officeDocument/2006/relationships/hyperlink" Target="https://wa.me/34670688605" TargetMode="External" Id="rId12"/><Relationship Type="http://schemas.openxmlformats.org/officeDocument/2006/relationships/hyperlink" Target="https://wa.me/34640172370" TargetMode="External" Id="rId13"/><Relationship Type="http://schemas.openxmlformats.org/officeDocument/2006/relationships/hyperlink" Target="https://wa.me/34624619801" TargetMode="External" Id="rId14"/><Relationship Type="http://schemas.openxmlformats.org/officeDocument/2006/relationships/hyperlink" Target="https://wa.me/34652412490" TargetMode="External" Id="rId15"/><Relationship Type="http://schemas.openxmlformats.org/officeDocument/2006/relationships/hyperlink" Target="https://wa.me/34659791345" TargetMode="External" Id="rId16"/><Relationship Type="http://schemas.openxmlformats.org/officeDocument/2006/relationships/hyperlink" Target="https://wa.me/34685506068" TargetMode="External" Id="rId17"/><Relationship Type="http://schemas.openxmlformats.org/officeDocument/2006/relationships/hyperlink" Target="https://wa.me/34628821456" TargetMode="External" Id="rId18"/><Relationship Type="http://schemas.openxmlformats.org/officeDocument/2006/relationships/hyperlink" Target="https://wa.me/34613000459" TargetMode="External" Id="rId19"/><Relationship Type="http://schemas.openxmlformats.org/officeDocument/2006/relationships/hyperlink" Target="https://wa.me/34615561606" TargetMode="External" Id="rId20"/><Relationship Type="http://schemas.openxmlformats.org/officeDocument/2006/relationships/hyperlink" Target="https://wa.me/34618056226" TargetMode="External" Id="rId21"/><Relationship Type="http://schemas.openxmlformats.org/officeDocument/2006/relationships/hyperlink" Target="https://wa.me/34603954186" TargetMode="External" Id="rId22"/><Relationship Type="http://schemas.openxmlformats.org/officeDocument/2006/relationships/hyperlink" Target="https://wa.me/34602337859" TargetMode="External" Id="rId23"/><Relationship Type="http://schemas.openxmlformats.org/officeDocument/2006/relationships/hyperlink" Target="https://wa.me/34662931935" TargetMode="External" Id="rId24"/><Relationship Type="http://schemas.openxmlformats.org/officeDocument/2006/relationships/hyperlink" Target="https://wa.me/34625912075" TargetMode="External" Id="rId25"/><Relationship Type="http://schemas.openxmlformats.org/officeDocument/2006/relationships/hyperlink" Target="https://wa.me/34609669584" TargetMode="External" Id="rId26"/><Relationship Type="http://schemas.openxmlformats.org/officeDocument/2006/relationships/hyperlink" Target="https://wa.me/34653498655" TargetMode="External" Id="rId27"/><Relationship Type="http://schemas.openxmlformats.org/officeDocument/2006/relationships/hyperlink" Target="https://wa.me/34663907618" TargetMode="External" Id="rId28"/><Relationship Type="http://schemas.openxmlformats.org/officeDocument/2006/relationships/hyperlink" Target="https://wa.me/34679338643" TargetMode="External" Id="rId29"/><Relationship Type="http://schemas.openxmlformats.org/officeDocument/2006/relationships/hyperlink" Target="https://wa.me/34692505309" TargetMode="External" Id="rId30"/><Relationship Type="http://schemas.openxmlformats.org/officeDocument/2006/relationships/hyperlink" Target="https://wa.me/34628282768" TargetMode="External" Id="rId31"/><Relationship Type="http://schemas.openxmlformats.org/officeDocument/2006/relationships/hyperlink" Target="https://wa.me/34672988689" TargetMode="External" Id="rId32"/><Relationship Type="http://schemas.openxmlformats.org/officeDocument/2006/relationships/hyperlink" Target="https://wa.me/34640675761" TargetMode="External" Id="rId33"/><Relationship Type="http://schemas.openxmlformats.org/officeDocument/2006/relationships/hyperlink" Target="https://wa.me/34639846722" TargetMode="External" Id="rId34"/><Relationship Type="http://schemas.openxmlformats.org/officeDocument/2006/relationships/hyperlink" Target="https://wa.me/34640855217" TargetMode="External" Id="rId35"/><Relationship Type="http://schemas.openxmlformats.org/officeDocument/2006/relationships/hyperlink" Target="https://wa.me/34655698631" TargetMode="External" Id="rId36"/><Relationship Type="http://schemas.openxmlformats.org/officeDocument/2006/relationships/hyperlink" Target="https://wa.me/34620383808" TargetMode="External" Id="rId37"/><Relationship Type="http://schemas.openxmlformats.org/officeDocument/2006/relationships/hyperlink" Target="https://wa.me/34618770527" TargetMode="External" Id="rId38"/><Relationship Type="http://schemas.openxmlformats.org/officeDocument/2006/relationships/hyperlink" Target="https://wa.me/34664776765" TargetMode="External" Id="rId39"/><Relationship Type="http://schemas.openxmlformats.org/officeDocument/2006/relationships/hyperlink" Target="https://wa.me/34663294774" TargetMode="External" Id="rId40"/><Relationship Type="http://schemas.openxmlformats.org/officeDocument/2006/relationships/hyperlink" Target="https://wa.me/34678340132" TargetMode="External" Id="rId41"/><Relationship Type="http://schemas.openxmlformats.org/officeDocument/2006/relationships/hyperlink" Target="https://wa.me/3462678518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11" customWidth="1" min="4" max="4"/>
    <col width="32" customWidth="1" min="5" max="5"/>
    <col width="14" customWidth="1" min="6" max="6"/>
    <col width="17" customWidth="1" min="7" max="7"/>
    <col width="26" customWidth="1" min="8" max="8"/>
    <col width="60" customWidth="1" min="9" max="9"/>
    <col width="11" customWidth="1" min="10" max="10"/>
    <col width="25" customWidth="1" min="11" max="11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Negocio</t>
        </is>
      </c>
      <c r="D1" s="1" t="inlineStr">
        <is>
          <t>Localidad</t>
        </is>
      </c>
      <c r="E1" s="1" t="inlineStr">
        <is>
          <t>Dirección</t>
        </is>
      </c>
      <c r="F1" s="1" t="inlineStr">
        <is>
          <t>Teléfono</t>
        </is>
      </c>
      <c r="G1" s="1" t="inlineStr">
        <is>
          <t>WhatsApp</t>
        </is>
      </c>
      <c r="H1" s="1" t="inlineStr">
        <is>
          <t>Enlace WhatsApp</t>
        </is>
      </c>
      <c r="I1" s="1" t="inlineStr">
        <is>
          <t>Mensaje sugerido</t>
        </is>
      </c>
      <c r="J1" s="1" t="inlineStr">
        <is>
          <t>Estado</t>
        </is>
      </c>
      <c r="K1" s="1" t="inlineStr">
        <is>
          <t>Notas</t>
        </is>
      </c>
    </row>
    <row r="2">
      <c r="A2" t="n">
        <v>1</v>
      </c>
      <c r="B2" t="inlineStr">
        <is>
          <t>Fisioterapia</t>
        </is>
      </c>
      <c r="C2" t="inlineStr">
        <is>
          <t>Fontanet Medicina i Fisioterapia</t>
        </is>
      </c>
      <c r="D2" t="inlineStr">
        <is>
          <t>Tarragona</t>
        </is>
      </c>
      <c r="E2" t="inlineStr">
        <is>
          <t>C/ Gasòmetre, 24</t>
        </is>
      </c>
      <c r="F2" t="inlineStr">
        <is>
          <t>977 22 69 00</t>
        </is>
      </c>
      <c r="G2" t="inlineStr">
        <is>
          <t>No (fijo: llamar)</t>
        </is>
      </c>
      <c r="H2" t="inlineStr"/>
      <c r="I2" s="2" t="inlineStr">
        <is>
          <t>Hola! Soy Marcos, de Tarragona. He leído la web de Fontanet Medicina i Fisioterapia y he reescrito vuestro texto de presentación para que convenza más a quien la visita. ¿Os lo envío gratis para que lo veáis?</t>
        </is>
      </c>
      <c r="J2" t="inlineStr">
        <is>
          <t>Pendiente</t>
        </is>
      </c>
      <c r="K2" t="inlineStr"/>
    </row>
    <row r="3">
      <c r="A3" t="n">
        <v>2</v>
      </c>
      <c r="B3" t="inlineStr">
        <is>
          <t>Fisioterapia</t>
        </is>
      </c>
      <c r="C3" t="inlineStr">
        <is>
          <t>Fisioteràpia Núria Barcelona</t>
        </is>
      </c>
      <c r="D3" t="inlineStr">
        <is>
          <t>Tarragona</t>
        </is>
      </c>
      <c r="E3" t="inlineStr">
        <is>
          <t>Rambla Nova, 78, 1º1ª B</t>
        </is>
      </c>
      <c r="F3" t="inlineStr">
        <is>
          <t>977 24 11 18</t>
        </is>
      </c>
      <c r="G3" t="inlineStr">
        <is>
          <t>No (fijo: llamar)</t>
        </is>
      </c>
      <c r="H3" t="inlineStr"/>
      <c r="I3" s="2" t="inlineStr">
        <is>
          <t>Hola! Soy Marcos, de Tarragona. He leído la web de Fisioteràpia Núria Barcelona y he reescrito vuestro texto de presentación para que convenza más a quien la visita. ¿Os lo envío gratis para que lo veáis?</t>
        </is>
      </c>
      <c r="J3" t="inlineStr">
        <is>
          <t>Pendiente</t>
        </is>
      </c>
      <c r="K3" t="inlineStr"/>
    </row>
    <row r="4">
      <c r="A4" t="n">
        <v>3</v>
      </c>
      <c r="B4" t="inlineStr">
        <is>
          <t>Fisioterapia</t>
        </is>
      </c>
      <c r="C4" t="inlineStr">
        <is>
          <t>FisioVitalTGN</t>
        </is>
      </c>
      <c r="D4" t="inlineStr">
        <is>
          <t>Tarragona</t>
        </is>
      </c>
      <c r="E4" t="inlineStr">
        <is>
          <t>Av. de Roma, 14, Entl. 3a</t>
        </is>
      </c>
      <c r="F4" t="inlineStr">
        <is>
          <t>977 21 34 68</t>
        </is>
      </c>
      <c r="G4" t="inlineStr">
        <is>
          <t>No (fijo: llamar)</t>
        </is>
      </c>
      <c r="H4" t="inlineStr"/>
      <c r="I4" s="2" t="inlineStr">
        <is>
          <t>Hola! Soy Marcos, de Tarragona. He leído la web de FisioVitalTGN y he reescrito vuestro texto de presentación para que convenza más a quien la visita. ¿Os lo envío gratis para que lo veáis?</t>
        </is>
      </c>
      <c r="J4" t="inlineStr">
        <is>
          <t>Pendiente</t>
        </is>
      </c>
      <c r="K4" t="inlineStr"/>
    </row>
    <row r="5">
      <c r="A5" t="n">
        <v>4</v>
      </c>
      <c r="B5" t="inlineStr">
        <is>
          <t>Fisioterapia</t>
        </is>
      </c>
      <c r="C5" t="inlineStr">
        <is>
          <t>Tonus Fisioteràpia</t>
        </is>
      </c>
      <c r="D5" t="inlineStr">
        <is>
          <t>Tarragona</t>
        </is>
      </c>
      <c r="E5" t="inlineStr">
        <is>
          <t>C/ Mercè Rodoreda, 2</t>
        </is>
      </c>
      <c r="F5" t="inlineStr">
        <is>
          <t>977 29 07 26</t>
        </is>
      </c>
      <c r="G5" t="inlineStr">
        <is>
          <t>No (fijo: llamar)</t>
        </is>
      </c>
      <c r="H5" t="inlineStr"/>
      <c r="I5" s="2" t="inlineStr">
        <is>
          <t>Hola! Soy Marcos, de Tarragona. He leído la web de Tonus Fisioteràpia y he reescrito vuestro texto de presentación para que convenza más a quien la visita. ¿Os lo envío gratis para que lo veáis?</t>
        </is>
      </c>
      <c r="J5" t="inlineStr">
        <is>
          <t>Pendiente</t>
        </is>
      </c>
      <c r="K5" t="inlineStr"/>
    </row>
    <row r="6">
      <c r="A6" t="n">
        <v>5</v>
      </c>
      <c r="B6" t="inlineStr">
        <is>
          <t>Fisioterapia</t>
        </is>
      </c>
      <c r="C6" t="inlineStr">
        <is>
          <t>Carlos del Egido Fisioterapeuta</t>
        </is>
      </c>
      <c r="D6" t="inlineStr">
        <is>
          <t>Tarragona</t>
        </is>
      </c>
      <c r="E6" t="inlineStr">
        <is>
          <t>C/ Sant Llorenç, 12, 1º1ª</t>
        </is>
      </c>
      <c r="F6" t="inlineStr">
        <is>
          <t>629 328 606</t>
        </is>
      </c>
      <c r="G6" t="inlineStr">
        <is>
          <t>Sí (móvil)</t>
        </is>
      </c>
      <c r="H6" s="3" t="inlineStr">
        <is>
          <t>https://wa.me/34629328606</t>
        </is>
      </c>
      <c r="I6" s="2" t="inlineStr">
        <is>
          <t>Hola! Soy Marcos, de Tarragona. He leído la web de Carlos del Egido Fisioterapeuta y he reescrito vuestro texto de presentación para que convenza más a quien la visita. ¿Os lo envío gratis para que lo veáis?</t>
        </is>
      </c>
      <c r="J6" t="inlineStr">
        <is>
          <t>Pendiente</t>
        </is>
      </c>
      <c r="K6" t="inlineStr"/>
    </row>
    <row r="7">
      <c r="A7" t="n">
        <v>6</v>
      </c>
      <c r="B7" t="inlineStr">
        <is>
          <t>Fisioterapia</t>
        </is>
      </c>
      <c r="C7" t="inlineStr">
        <is>
          <t>Balance Montiel</t>
        </is>
      </c>
      <c r="D7" t="inlineStr">
        <is>
          <t>Tarragona</t>
        </is>
      </c>
      <c r="E7" t="inlineStr">
        <is>
          <t>C/ Lleida, 20, 2º2ª B</t>
        </is>
      </c>
      <c r="F7" t="inlineStr">
        <is>
          <t>671 962 498</t>
        </is>
      </c>
      <c r="G7" t="inlineStr">
        <is>
          <t>Sí (móvil)</t>
        </is>
      </c>
      <c r="H7" s="3" t="inlineStr">
        <is>
          <t>https://wa.me/34671962498</t>
        </is>
      </c>
      <c r="I7" s="2" t="inlineStr">
        <is>
          <t>Hola! Soy Marcos, de Tarragona. He leído la web de Balance Montiel y he reescrito vuestro texto de presentación para que convenza más a quien la visita. ¿Os lo envío gratis para que lo veáis?</t>
        </is>
      </c>
      <c r="J7" t="inlineStr">
        <is>
          <t>Pendiente</t>
        </is>
      </c>
      <c r="K7" t="inlineStr"/>
    </row>
    <row r="8">
      <c r="A8" t="n">
        <v>7</v>
      </c>
      <c r="B8" t="inlineStr">
        <is>
          <t>Fisioterapia</t>
        </is>
      </c>
      <c r="C8" t="inlineStr">
        <is>
          <t>Sinapfis Fisioteràpia</t>
        </is>
      </c>
      <c r="D8" t="inlineStr">
        <is>
          <t>Tarragona</t>
        </is>
      </c>
      <c r="E8" t="inlineStr">
        <is>
          <t>C/ Riu Tordera, local 3</t>
        </is>
      </c>
      <c r="F8" t="inlineStr">
        <is>
          <t>613 54 59 45</t>
        </is>
      </c>
      <c r="G8" t="inlineStr">
        <is>
          <t>Sí (móvil)</t>
        </is>
      </c>
      <c r="H8" s="3" t="inlineStr">
        <is>
          <t>https://wa.me/34613545945</t>
        </is>
      </c>
      <c r="I8" s="2" t="inlineStr">
        <is>
          <t>Hola! Soy Marcos, de Tarragona. He leído la web de Sinapfis Fisioteràpia y he reescrito vuestro texto de presentación para que convenza más a quien la visita. ¿Os lo envío gratis para que lo veáis?</t>
        </is>
      </c>
      <c r="J8" t="inlineStr">
        <is>
          <t>Pendiente</t>
        </is>
      </c>
      <c r="K8" t="inlineStr"/>
    </row>
    <row r="9">
      <c r="A9" t="n">
        <v>8</v>
      </c>
      <c r="B9" t="inlineStr">
        <is>
          <t>Fisioterapia</t>
        </is>
      </c>
      <c r="C9" t="inlineStr">
        <is>
          <t>Adrià Adam Dasca Fisioterapeuta</t>
        </is>
      </c>
      <c r="D9" t="inlineStr">
        <is>
          <t>Tarragona</t>
        </is>
      </c>
      <c r="E9" t="inlineStr">
        <is>
          <t>Av. Catalunya, 22D, entlo. 1ª</t>
        </is>
      </c>
      <c r="F9" t="inlineStr">
        <is>
          <t>646 74 34 10</t>
        </is>
      </c>
      <c r="G9" t="inlineStr">
        <is>
          <t>Sí (móvil)</t>
        </is>
      </c>
      <c r="H9" s="3" t="inlineStr">
        <is>
          <t>https://wa.me/34646743410</t>
        </is>
      </c>
      <c r="I9" s="2" t="inlineStr">
        <is>
          <t>Hola! Soy Marcos, de Tarragona. He leído la web de Adrià Adam Dasca Fisioterapeuta y he reescrito vuestro texto de presentación para que convenza más a quien la visita. ¿Os lo envío gratis para que lo veáis?</t>
        </is>
      </c>
      <c r="J9" t="inlineStr">
        <is>
          <t>Pendiente</t>
        </is>
      </c>
      <c r="K9" t="inlineStr"/>
    </row>
    <row r="10">
      <c r="A10" t="n">
        <v>9</v>
      </c>
      <c r="B10" t="inlineStr">
        <is>
          <t>Fisioterapia</t>
        </is>
      </c>
      <c r="C10" t="inlineStr">
        <is>
          <t>Claudia Ardid Fisioterapia</t>
        </is>
      </c>
      <c r="D10" t="inlineStr">
        <is>
          <t>Tarragona</t>
        </is>
      </c>
      <c r="E10" t="inlineStr">
        <is>
          <t>C/ Cardenal Cervantes, 23, bajos B</t>
        </is>
      </c>
      <c r="F10" t="inlineStr">
        <is>
          <t>618 44 82 33</t>
        </is>
      </c>
      <c r="G10" t="inlineStr">
        <is>
          <t>Sí (móvil)</t>
        </is>
      </c>
      <c r="H10" s="3" t="inlineStr">
        <is>
          <t>https://wa.me/34618448233</t>
        </is>
      </c>
      <c r="I10" s="2" t="inlineStr">
        <is>
          <t>Hola! Soy Marcos, de Tarragona. He leído la web de Claudia Ardid Fisioterapia y he reescrito vuestro texto de presentación para que convenza más a quien la visita. ¿Os lo envío gratis para que lo veáis?</t>
        </is>
      </c>
      <c r="J10" t="inlineStr">
        <is>
          <t>Pendiente</t>
        </is>
      </c>
      <c r="K10" t="inlineStr"/>
    </row>
    <row r="11">
      <c r="A11" t="n">
        <v>10</v>
      </c>
      <c r="B11" t="inlineStr">
        <is>
          <t>Fisioterapia</t>
        </is>
      </c>
      <c r="C11" t="inlineStr">
        <is>
          <t>Eric Vicens Centre de Fisioteràpia</t>
        </is>
      </c>
      <c r="D11" t="inlineStr">
        <is>
          <t>Tarragona</t>
        </is>
      </c>
      <c r="E11" t="inlineStr">
        <is>
          <t>C/ Higini Anglès, 4, local 18</t>
        </is>
      </c>
      <c r="F11" t="inlineStr">
        <is>
          <t>615 23 29 00</t>
        </is>
      </c>
      <c r="G11" t="inlineStr">
        <is>
          <t>Sí (móvil)</t>
        </is>
      </c>
      <c r="H11" s="3" t="inlineStr">
        <is>
          <t>https://wa.me/34615232900</t>
        </is>
      </c>
      <c r="I11" s="2" t="inlineStr">
        <is>
          <t>Hola! Soy Marcos, de Tarragona. He leído la web de Eric Vicens Centre de Fisioteràpia y he reescrito vuestro texto de presentación para que convenza más a quien la visita. ¿Os lo envío gratis para que lo veáis?</t>
        </is>
      </c>
      <c r="J11" t="inlineStr">
        <is>
          <t>Pendiente</t>
        </is>
      </c>
      <c r="K11" t="inlineStr"/>
    </row>
    <row r="12">
      <c r="A12" t="n">
        <v>11</v>
      </c>
      <c r="B12" t="inlineStr">
        <is>
          <t>Fisioterapia</t>
        </is>
      </c>
      <c r="C12" t="inlineStr">
        <is>
          <t>Fisioreus</t>
        </is>
      </c>
      <c r="D12" t="inlineStr">
        <is>
          <t>Reus</t>
        </is>
      </c>
      <c r="E12" t="inlineStr">
        <is>
          <t>C/ Felip Pedrell i Sabaté, 5</t>
        </is>
      </c>
      <c r="F12" t="inlineStr">
        <is>
          <t>977 07 42 81</t>
        </is>
      </c>
      <c r="G12" t="inlineStr">
        <is>
          <t>No (fijo: llamar)</t>
        </is>
      </c>
      <c r="H12" t="inlineStr"/>
      <c r="I12" s="2" t="inlineStr">
        <is>
          <t>Hola! Soy Marcos, de Tarragona. He leído la web de Fisioreus y he reescrito vuestro texto de presentación para que convenza más a quien la visita. ¿Os lo envío gratis para que lo veáis?</t>
        </is>
      </c>
      <c r="J12" t="inlineStr">
        <is>
          <t>Pendiente</t>
        </is>
      </c>
      <c r="K12" t="inlineStr"/>
    </row>
    <row r="13">
      <c r="A13" t="n">
        <v>12</v>
      </c>
      <c r="B13" t="inlineStr">
        <is>
          <t>Fisioterapia</t>
        </is>
      </c>
      <c r="C13" t="inlineStr">
        <is>
          <t>Fisiorecupera't</t>
        </is>
      </c>
      <c r="D13" t="inlineStr">
        <is>
          <t>Reus</t>
        </is>
      </c>
      <c r="E13" t="inlineStr">
        <is>
          <t>C/ Ample, 62</t>
        </is>
      </c>
      <c r="F13" t="inlineStr">
        <is>
          <t>635 054 064</t>
        </is>
      </c>
      <c r="G13" t="inlineStr">
        <is>
          <t>Sí (móvil)</t>
        </is>
      </c>
      <c r="H13" s="3" t="inlineStr">
        <is>
          <t>https://wa.me/34635054064</t>
        </is>
      </c>
      <c r="I13" s="2" t="inlineStr">
        <is>
          <t>Hola! Soy Marcos, de Tarragona. He leído la web de Fisiorecupera't y he reescrito vuestro texto de presentación para que convenza más a quien la visita. ¿Os lo envío gratis para que lo veáis?</t>
        </is>
      </c>
      <c r="J13" t="inlineStr">
        <is>
          <t>Pendiente</t>
        </is>
      </c>
      <c r="K13" t="inlineStr"/>
    </row>
    <row r="14">
      <c r="A14" t="n">
        <v>13</v>
      </c>
      <c r="B14" t="inlineStr">
        <is>
          <t>Fisioterapia</t>
        </is>
      </c>
      <c r="C14" t="inlineStr">
        <is>
          <t>Fisioterapia Vilafortuny</t>
        </is>
      </c>
      <c r="D14" t="inlineStr">
        <is>
          <t>Cambrils</t>
        </is>
      </c>
      <c r="E14" t="inlineStr">
        <is>
          <t>Vilafortuny</t>
        </is>
      </c>
      <c r="F14" t="inlineStr">
        <is>
          <t>977 36 20 10</t>
        </is>
      </c>
      <c r="G14" t="inlineStr">
        <is>
          <t>No (fijo: llamar)</t>
        </is>
      </c>
      <c r="H14" t="inlineStr"/>
      <c r="I14" s="2" t="inlineStr">
        <is>
          <t>Hola! Soy Marcos, de Tarragona. He leído la web de Fisioterapia Vilafortuny y he reescrito vuestro texto de presentación para que convenza más a quien la visita. ¿Os lo envío gratis para que lo veáis?</t>
        </is>
      </c>
      <c r="J14" t="inlineStr">
        <is>
          <t>Pendiente</t>
        </is>
      </c>
      <c r="K14" t="inlineStr"/>
    </row>
    <row r="15">
      <c r="A15" t="n">
        <v>14</v>
      </c>
      <c r="B15" t="inlineStr">
        <is>
          <t>Fisioterapia</t>
        </is>
      </c>
      <c r="C15" t="inlineStr">
        <is>
          <t>Axis Centro de Fisioterapia</t>
        </is>
      </c>
      <c r="D15" t="inlineStr">
        <is>
          <t>Cambrils</t>
        </is>
      </c>
      <c r="E15" t="inlineStr">
        <is>
          <t>C/ Sant Josep, 15</t>
        </is>
      </c>
      <c r="F15" t="inlineStr">
        <is>
          <t>977 79 54 33</t>
        </is>
      </c>
      <c r="G15" t="inlineStr">
        <is>
          <t>No (fijo: llamar)</t>
        </is>
      </c>
      <c r="H15" t="inlineStr"/>
      <c r="I15" s="2" t="inlineStr">
        <is>
          <t>Hola! Soy Marcos, de Tarragona. He leído la web de Axis Centro de Fisioterapia y he reescrito vuestro texto de presentación para que convenza más a quien la visita. ¿Os lo envío gratis para que lo veáis?</t>
        </is>
      </c>
      <c r="J15" t="inlineStr">
        <is>
          <t>Pendiente</t>
        </is>
      </c>
      <c r="K15" t="inlineStr"/>
    </row>
    <row r="16">
      <c r="A16" t="n">
        <v>15</v>
      </c>
      <c r="B16" t="inlineStr">
        <is>
          <t>Fisioterapia</t>
        </is>
      </c>
      <c r="C16" t="inlineStr">
        <is>
          <t>Cenfis Funcional</t>
        </is>
      </c>
      <c r="D16" t="inlineStr">
        <is>
          <t>Cambrils</t>
        </is>
      </c>
      <c r="E16" t="inlineStr">
        <is>
          <t>C/ Santa Joaquina de Vedruna, 4</t>
        </is>
      </c>
      <c r="F16" t="inlineStr">
        <is>
          <t>977 79 22 55</t>
        </is>
      </c>
      <c r="G16" t="inlineStr">
        <is>
          <t>No (fijo: llamar)</t>
        </is>
      </c>
      <c r="H16" t="inlineStr"/>
      <c r="I16" s="2" t="inlineStr">
        <is>
          <t>Hola! Soy Marcos, de Tarragona. He leído la web de Cenfis Funcional y he reescrito vuestro texto de presentación para que convenza más a quien la visita. ¿Os lo envío gratis para que lo veáis?</t>
        </is>
      </c>
      <c r="J16" t="inlineStr">
        <is>
          <t>Pendiente</t>
        </is>
      </c>
      <c r="K16" t="inlineStr"/>
    </row>
    <row r="17">
      <c r="A17" t="n">
        <v>16</v>
      </c>
      <c r="B17" t="inlineStr">
        <is>
          <t>Fisioterapia</t>
        </is>
      </c>
      <c r="C17" t="inlineStr">
        <is>
          <t>Fisiosalou</t>
        </is>
      </c>
      <c r="D17" t="inlineStr">
        <is>
          <t>Salou</t>
        </is>
      </c>
      <c r="E17" t="inlineStr">
        <is>
          <t>C/ Montsant, 2</t>
        </is>
      </c>
      <c r="F17" t="inlineStr">
        <is>
          <t>977 35 09 87</t>
        </is>
      </c>
      <c r="G17" t="inlineStr">
        <is>
          <t>No (fijo: llamar)</t>
        </is>
      </c>
      <c r="H17" t="inlineStr"/>
      <c r="I17" s="2" t="inlineStr">
        <is>
          <t>Hola! Soy Marcos, de Tarragona. He leído la web de Fisiosalou y he reescrito vuestro texto de presentación para que convenza más a quien la visita. ¿Os lo envío gratis para que lo veáis?</t>
        </is>
      </c>
      <c r="J17" t="inlineStr">
        <is>
          <t>Pendiente</t>
        </is>
      </c>
      <c r="K17" t="inlineStr"/>
    </row>
    <row r="18">
      <c r="A18" t="n">
        <v>17</v>
      </c>
      <c r="B18" t="inlineStr">
        <is>
          <t>Abogados</t>
        </is>
      </c>
      <c r="C18" t="inlineStr">
        <is>
          <t>Baiges Advocats</t>
        </is>
      </c>
      <c r="D18" t="inlineStr">
        <is>
          <t>Tarragona</t>
        </is>
      </c>
      <c r="E18" t="inlineStr">
        <is>
          <t>C/ Lleida, 22</t>
        </is>
      </c>
      <c r="F18" t="inlineStr">
        <is>
          <t>659 103 572</t>
        </is>
      </c>
      <c r="G18" t="inlineStr">
        <is>
          <t>Sí (móvil)</t>
        </is>
      </c>
      <c r="H18" s="3" t="inlineStr">
        <is>
          <t>https://wa.me/34659103572</t>
        </is>
      </c>
      <c r="I18" s="2" t="inlineStr">
        <is>
          <t>Hola! Soy Marcos, de Tarragona. He leído la web de Baiges Advocats y he reescrito vuestro texto de presentación para que convenza más a quien la visita. ¿Os lo envío gratis para que lo veáis?</t>
        </is>
      </c>
      <c r="J18" t="inlineStr">
        <is>
          <t>Pendiente</t>
        </is>
      </c>
      <c r="K18" t="inlineStr"/>
    </row>
    <row r="19">
      <c r="A19" t="n">
        <v>18</v>
      </c>
      <c r="B19" t="inlineStr">
        <is>
          <t>Abogados</t>
        </is>
      </c>
      <c r="C19" t="inlineStr">
        <is>
          <t>Curto Abogados</t>
        </is>
      </c>
      <c r="D19" t="inlineStr">
        <is>
          <t>Tarragona</t>
        </is>
      </c>
      <c r="E19" t="inlineStr">
        <is>
          <t>C/ Mossèn Salvador Ritort i Faus, 27</t>
        </is>
      </c>
      <c r="F19" t="inlineStr">
        <is>
          <t>977 22 35 22</t>
        </is>
      </c>
      <c r="G19" t="inlineStr">
        <is>
          <t>No (fijo: llamar)</t>
        </is>
      </c>
      <c r="H19" t="inlineStr"/>
      <c r="I19" s="2" t="inlineStr">
        <is>
          <t>Hola! Soy Marcos, de Tarragona. He leído la web de Curto Abogados y he reescrito vuestro texto de presentación para que convenza más a quien la visita. ¿Os lo envío gratis para que lo veáis?</t>
        </is>
      </c>
      <c r="J19" t="inlineStr">
        <is>
          <t>Pendiente</t>
        </is>
      </c>
      <c r="K19" t="inlineStr"/>
    </row>
    <row r="20">
      <c r="A20" t="n">
        <v>19</v>
      </c>
      <c r="B20" t="inlineStr">
        <is>
          <t>Abogados</t>
        </is>
      </c>
      <c r="C20" t="inlineStr">
        <is>
          <t>Vives i Tous Advocats</t>
        </is>
      </c>
      <c r="D20" t="inlineStr">
        <is>
          <t>Tarragona</t>
        </is>
      </c>
      <c r="E20" t="inlineStr">
        <is>
          <t>C/ August, 12, 1º</t>
        </is>
      </c>
      <c r="F20" t="inlineStr">
        <is>
          <t>977 23 02 24</t>
        </is>
      </c>
      <c r="G20" t="inlineStr">
        <is>
          <t>No (fijo: llamar)</t>
        </is>
      </c>
      <c r="H20" t="inlineStr"/>
      <c r="I20" s="2" t="inlineStr">
        <is>
          <t>Hola! Soy Marcos, de Tarragona. He leído la web de Vives i Tous Advocats y he reescrito vuestro texto de presentación para que convenza más a quien la visita. ¿Os lo envío gratis para que lo veáis?</t>
        </is>
      </c>
      <c r="J20" t="inlineStr">
        <is>
          <t>Pendiente</t>
        </is>
      </c>
      <c r="K20" t="inlineStr"/>
    </row>
    <row r="21">
      <c r="A21" t="n">
        <v>20</v>
      </c>
      <c r="B21" t="inlineStr">
        <is>
          <t>Gestoría</t>
        </is>
      </c>
      <c r="C21" t="inlineStr">
        <is>
          <t>Gestoría Riola</t>
        </is>
      </c>
      <c r="D21" t="inlineStr">
        <is>
          <t>Tarragona</t>
        </is>
      </c>
      <c r="E21" t="inlineStr">
        <is>
          <t>Rambla Nova, 110, 2º2ª</t>
        </is>
      </c>
      <c r="F21" t="inlineStr">
        <is>
          <t>977 24 17 07</t>
        </is>
      </c>
      <c r="G21" t="inlineStr">
        <is>
          <t>No (fijo: llamar)</t>
        </is>
      </c>
      <c r="H21" t="inlineStr"/>
      <c r="I21" s="2" t="inlineStr">
        <is>
          <t>Hola! Soy Marcos, de Tarragona. He leído la web de Gestoría Riola y he reescrito vuestro texto de presentación para que convenza más a quien la visita. ¿Os lo envío gratis para que lo veáis?</t>
        </is>
      </c>
      <c r="J21" t="inlineStr">
        <is>
          <t>Pendiente</t>
        </is>
      </c>
      <c r="K21" t="inlineStr"/>
    </row>
    <row r="22">
      <c r="A22" t="n">
        <v>21</v>
      </c>
      <c r="B22" t="inlineStr">
        <is>
          <t>Gestoría</t>
        </is>
      </c>
      <c r="C22" t="inlineStr">
        <is>
          <t>Sugranyes Assessors</t>
        </is>
      </c>
      <c r="D22" t="inlineStr">
        <is>
          <t>Tarragona</t>
        </is>
      </c>
      <c r="E22" t="inlineStr">
        <is>
          <t>C/ Sant Francesc, 10</t>
        </is>
      </c>
      <c r="F22" t="inlineStr">
        <is>
          <t>977 23 38 06</t>
        </is>
      </c>
      <c r="G22" t="inlineStr">
        <is>
          <t>No (fijo: llamar)</t>
        </is>
      </c>
      <c r="H22" t="inlineStr"/>
      <c r="I22" s="2" t="inlineStr">
        <is>
          <t>Hola! Soy Marcos, de Tarragona. He leído la web de Sugranyes Assessors y he reescrito vuestro texto de presentación para que convenza más a quien la visita. ¿Os lo envío gratis para que lo veáis?</t>
        </is>
      </c>
      <c r="J22" t="inlineStr">
        <is>
          <t>Pendiente</t>
        </is>
      </c>
      <c r="K22" t="inlineStr"/>
    </row>
    <row r="23">
      <c r="A23" t="n">
        <v>22</v>
      </c>
      <c r="B23" t="inlineStr">
        <is>
          <t>Gestoría</t>
        </is>
      </c>
      <c r="C23" t="inlineStr">
        <is>
          <t>Mallol Assessors</t>
        </is>
      </c>
      <c r="D23" t="inlineStr">
        <is>
          <t>Tarragona</t>
        </is>
      </c>
      <c r="E23" t="inlineStr">
        <is>
          <t>C/ Pere Martell, 53</t>
        </is>
      </c>
      <c r="F23" t="inlineStr">
        <is>
          <t>977 23 57 52</t>
        </is>
      </c>
      <c r="G23" t="inlineStr">
        <is>
          <t>No (fijo: llamar)</t>
        </is>
      </c>
      <c r="H23" t="inlineStr"/>
      <c r="I23" s="2" t="inlineStr">
        <is>
          <t>Hola! Soy Marcos, de Tarragona. He leído la web de Mallol Assessors y he reescrito vuestro texto de presentación para que convenza más a quien la visita. ¿Os lo envío gratis para que lo veáis?</t>
        </is>
      </c>
      <c r="J23" t="inlineStr">
        <is>
          <t>Pendiente</t>
        </is>
      </c>
      <c r="K23" t="inlineStr"/>
    </row>
    <row r="24">
      <c r="A24" t="n">
        <v>23</v>
      </c>
      <c r="B24" t="inlineStr">
        <is>
          <t>Gestoría</t>
        </is>
      </c>
      <c r="C24" t="inlineStr">
        <is>
          <t>ENTarragona Asesores</t>
        </is>
      </c>
      <c r="D24" t="inlineStr">
        <is>
          <t>Tarragona</t>
        </is>
      </c>
      <c r="E24" t="inlineStr">
        <is>
          <t>C/ Pare Palau, 5, entl. 3</t>
        </is>
      </c>
      <c r="F24" t="inlineStr">
        <is>
          <t>644 646 221</t>
        </is>
      </c>
      <c r="G24" t="inlineStr">
        <is>
          <t>Sí (móvil)</t>
        </is>
      </c>
      <c r="H24" s="3" t="inlineStr">
        <is>
          <t>https://wa.me/34644646221</t>
        </is>
      </c>
      <c r="I24" s="2" t="inlineStr">
        <is>
          <t>Hola! Soy Marcos, de Tarragona. He leído la web de ENTarragona Asesores y he reescrito vuestro texto de presentación para que convenza más a quien la visita. ¿Os lo envío gratis para que lo veáis?</t>
        </is>
      </c>
      <c r="J24" t="inlineStr">
        <is>
          <t>Pendiente</t>
        </is>
      </c>
      <c r="K24" t="inlineStr"/>
    </row>
    <row r="25">
      <c r="A25" t="n">
        <v>24</v>
      </c>
      <c r="B25" t="inlineStr">
        <is>
          <t>Gestoría</t>
        </is>
      </c>
      <c r="C25" t="inlineStr">
        <is>
          <t>Jondal Assessors</t>
        </is>
      </c>
      <c r="D25" t="inlineStr">
        <is>
          <t>Tarragona</t>
        </is>
      </c>
      <c r="E25" t="inlineStr">
        <is>
          <t>Bloc Coll de Lilla, local 2ª</t>
        </is>
      </c>
      <c r="F25" t="inlineStr">
        <is>
          <t>977 20 17 03</t>
        </is>
      </c>
      <c r="G25" t="inlineStr">
        <is>
          <t>No (fijo: llamar)</t>
        </is>
      </c>
      <c r="H25" t="inlineStr"/>
      <c r="I25" s="2" t="inlineStr">
        <is>
          <t>Hola! Soy Marcos, de Tarragona. He leído la web de Jondal Assessors y he reescrito vuestro texto de presentación para que convenza más a quien la visita. ¿Os lo envío gratis para que lo veáis?</t>
        </is>
      </c>
      <c r="J25" t="inlineStr">
        <is>
          <t>Pendiente</t>
        </is>
      </c>
      <c r="K25" t="inlineStr"/>
    </row>
    <row r="26">
      <c r="A26" t="n">
        <v>25</v>
      </c>
      <c r="B26" t="inlineStr">
        <is>
          <t>Gestoría</t>
        </is>
      </c>
      <c r="C26" t="inlineStr">
        <is>
          <t>Llurba Assessoria</t>
        </is>
      </c>
      <c r="D26" t="inlineStr">
        <is>
          <t>Tarragona</t>
        </is>
      </c>
      <c r="E26" t="inlineStr">
        <is>
          <t>Rambla Nova, 108, entl. 5</t>
        </is>
      </c>
      <c r="F26" t="inlineStr">
        <is>
          <t>977 24 24 78</t>
        </is>
      </c>
      <c r="G26" t="inlineStr">
        <is>
          <t>No (fijo: llamar)</t>
        </is>
      </c>
      <c r="H26" t="inlineStr"/>
      <c r="I26" s="2" t="inlineStr">
        <is>
          <t>Hola! Soy Marcos, de Tarragona. He leído la web de Llurba Assessoria y he reescrito vuestro texto de presentación para que convenza más a quien la visita. ¿Os lo envío gratis para que lo veáis?</t>
        </is>
      </c>
      <c r="J26" t="inlineStr">
        <is>
          <t>Pendiente</t>
        </is>
      </c>
      <c r="K26" t="inlineStr"/>
    </row>
    <row r="27">
      <c r="A27" t="n">
        <v>26</v>
      </c>
      <c r="B27" t="inlineStr">
        <is>
          <t>Gestoría</t>
        </is>
      </c>
      <c r="C27" t="inlineStr">
        <is>
          <t>Gestoría Boronat</t>
        </is>
      </c>
      <c r="D27" t="inlineStr">
        <is>
          <t>Tarragona</t>
        </is>
      </c>
      <c r="E27" t="inlineStr">
        <is>
          <t>Rambla Nova, 80</t>
        </is>
      </c>
      <c r="F27" t="inlineStr">
        <is>
          <t>977 23 82 06</t>
        </is>
      </c>
      <c r="G27" t="inlineStr">
        <is>
          <t>No (fijo: llamar)</t>
        </is>
      </c>
      <c r="H27" t="inlineStr"/>
      <c r="I27" s="2" t="inlineStr">
        <is>
          <t>Hola! Soy Marcos, de Tarragona. He leído la web de Gestoría Boronat y he reescrito vuestro texto de presentación para que convenza más a quien la visita. ¿Os lo envío gratis para que lo veáis?</t>
        </is>
      </c>
      <c r="J27" t="inlineStr">
        <is>
          <t>Pendiente</t>
        </is>
      </c>
      <c r="K27" t="inlineStr"/>
    </row>
    <row r="28">
      <c r="A28" t="n">
        <v>27</v>
      </c>
      <c r="B28" t="inlineStr">
        <is>
          <t>Gestoría</t>
        </is>
      </c>
      <c r="C28" t="inlineStr">
        <is>
          <t>Tarracogest (Asesoría Pérez)</t>
        </is>
      </c>
      <c r="D28" t="inlineStr">
        <is>
          <t>Tarragona</t>
        </is>
      </c>
      <c r="E28" t="inlineStr">
        <is>
          <t>C/ August, 5, 3º1ª</t>
        </is>
      </c>
      <c r="F28" t="inlineStr">
        <is>
          <t>977 24 30 38</t>
        </is>
      </c>
      <c r="G28" t="inlineStr">
        <is>
          <t>No (fijo: llamar)</t>
        </is>
      </c>
      <c r="H28" t="inlineStr"/>
      <c r="I28" s="2" t="inlineStr">
        <is>
          <t>Hola! Soy Marcos, de Tarragona. He leído la web de Tarracogest (Asesoría Pérez) y he reescrito vuestro texto de presentación para que convenza más a quien la visita. ¿Os lo envío gratis para que lo veáis?</t>
        </is>
      </c>
      <c r="J28" t="inlineStr">
        <is>
          <t>Pendiente</t>
        </is>
      </c>
      <c r="K28" t="inlineStr"/>
    </row>
    <row r="29">
      <c r="A29" t="n">
        <v>28</v>
      </c>
      <c r="B29" t="inlineStr">
        <is>
          <t>Dentista</t>
        </is>
      </c>
      <c r="C29" t="inlineStr">
        <is>
          <t>Clínica Dental Dra. Lorena Montes</t>
        </is>
      </c>
      <c r="D29" t="inlineStr">
        <is>
          <t>Tarragona</t>
        </is>
      </c>
      <c r="E29" t="inlineStr">
        <is>
          <t>C/ Higini Anglès, 10</t>
        </is>
      </c>
      <c r="F29" t="inlineStr">
        <is>
          <t>977 21 99 82</t>
        </is>
      </c>
      <c r="G29" t="inlineStr">
        <is>
          <t>No (fijo: llamar)</t>
        </is>
      </c>
      <c r="H29" t="inlineStr"/>
      <c r="I29" s="2" t="inlineStr">
        <is>
          <t>Hola! Soy Marcos, de Tarragona. He leído la web de Clínica Dental Dra. Lorena Montes y he reescrito vuestro texto de presentación para que convenza más a quien la visita. ¿Os lo envío gratis para que lo veáis?</t>
        </is>
      </c>
      <c r="J29" t="inlineStr">
        <is>
          <t>Pendiente</t>
        </is>
      </c>
      <c r="K29" t="inlineStr"/>
    </row>
    <row r="30">
      <c r="A30" t="n">
        <v>29</v>
      </c>
      <c r="B30" t="inlineStr">
        <is>
          <t>Dentista</t>
        </is>
      </c>
      <c r="C30" t="inlineStr">
        <is>
          <t>Clínica Dental Dr. Sergi Ibern</t>
        </is>
      </c>
      <c r="D30" t="inlineStr">
        <is>
          <t>Tarragona</t>
        </is>
      </c>
      <c r="E30" t="inlineStr">
        <is>
          <t>Rambla Nova, 123</t>
        </is>
      </c>
      <c r="F30" t="inlineStr">
        <is>
          <t>977 21 88 47</t>
        </is>
      </c>
      <c r="G30" t="inlineStr">
        <is>
          <t>No (fijo: llamar)</t>
        </is>
      </c>
      <c r="H30" t="inlineStr"/>
      <c r="I30" s="2" t="inlineStr">
        <is>
          <t>Hola! Soy Marcos, de Tarragona. He leído la web de Clínica Dental Dr. Sergi Ibern y he reescrito vuestro texto de presentación para que convenza más a quien la visita. ¿Os lo envío gratis para que lo veáis?</t>
        </is>
      </c>
      <c r="J30" t="inlineStr">
        <is>
          <t>Pendiente</t>
        </is>
      </c>
      <c r="K30" t="inlineStr"/>
    </row>
    <row r="31">
      <c r="A31" t="n">
        <v>30</v>
      </c>
      <c r="B31" t="inlineStr">
        <is>
          <t>Dentista</t>
        </is>
      </c>
      <c r="C31" t="inlineStr">
        <is>
          <t>Clínica Dental Dr. Tello</t>
        </is>
      </c>
      <c r="D31" t="inlineStr">
        <is>
          <t>Tarragona</t>
        </is>
      </c>
      <c r="E31" t="inlineStr">
        <is>
          <t>C/ Comte de Rius, 16</t>
        </is>
      </c>
      <c r="F31" t="inlineStr">
        <is>
          <t>977 23 94 02</t>
        </is>
      </c>
      <c r="G31" t="inlineStr">
        <is>
          <t>No (fijo: llamar)</t>
        </is>
      </c>
      <c r="H31" t="inlineStr"/>
      <c r="I31" s="2" t="inlineStr">
        <is>
          <t>Hola! Soy Marcos, de Tarragona. He leído la web de Clínica Dental Dr. Tello y he reescrito vuestro texto de presentación para que convenza más a quien la visita. ¿Os lo envío gratis para que lo veáis?</t>
        </is>
      </c>
      <c r="J31" t="inlineStr">
        <is>
          <t>Pendiente</t>
        </is>
      </c>
      <c r="K31" t="inlineStr"/>
    </row>
    <row r="32">
      <c r="A32" t="n">
        <v>31</v>
      </c>
      <c r="B32" t="inlineStr">
        <is>
          <t>Dentista</t>
        </is>
      </c>
      <c r="C32" t="inlineStr">
        <is>
          <t>Orthoclinic Tarragona</t>
        </is>
      </c>
      <c r="D32" t="inlineStr">
        <is>
          <t>Tarragona</t>
        </is>
      </c>
      <c r="E32" t="inlineStr">
        <is>
          <t>Av. Catalunya, 22</t>
        </is>
      </c>
      <c r="F32" t="inlineStr">
        <is>
          <t>977 23 59 76</t>
        </is>
      </c>
      <c r="G32" t="inlineStr">
        <is>
          <t>No (fijo: llamar)</t>
        </is>
      </c>
      <c r="H32" t="inlineStr"/>
      <c r="I32" s="2" t="inlineStr">
        <is>
          <t>Hola! Soy Marcos, de Tarragona. He leído la web de Orthoclinic Tarragona y he reescrito vuestro texto de presentación para que convenza más a quien la visita. ¿Os lo envío gratis para que lo veáis?</t>
        </is>
      </c>
      <c r="J32" t="inlineStr">
        <is>
          <t>Pendiente</t>
        </is>
      </c>
      <c r="K32" t="inlineStr"/>
    </row>
    <row r="33">
      <c r="A33" t="n">
        <v>32</v>
      </c>
      <c r="B33" t="inlineStr">
        <is>
          <t>Dentista</t>
        </is>
      </c>
      <c r="C33" t="inlineStr">
        <is>
          <t>IB Clínica Dental</t>
        </is>
      </c>
      <c r="D33" t="inlineStr">
        <is>
          <t>Tarragona</t>
        </is>
      </c>
      <c r="E33" t="inlineStr">
        <is>
          <t>C/ Mossèn Salvador Ritort i Faus, 25B</t>
        </is>
      </c>
      <c r="F33" t="inlineStr">
        <is>
          <t>977 23 71 28</t>
        </is>
      </c>
      <c r="G33" t="inlineStr">
        <is>
          <t>No (fijo: llamar)</t>
        </is>
      </c>
      <c r="H33" t="inlineStr"/>
      <c r="I33" s="2" t="inlineStr">
        <is>
          <t>Hola! Soy Marcos, de Tarragona. He leído la web de IB Clínica Dental y he reescrito vuestro texto de presentación para que convenza más a quien la visita. ¿Os lo envío gratis para que lo veáis?</t>
        </is>
      </c>
      <c r="J33" t="inlineStr">
        <is>
          <t>Pendiente</t>
        </is>
      </c>
      <c r="K33" t="inlineStr"/>
    </row>
    <row r="34">
      <c r="A34" t="n">
        <v>33</v>
      </c>
      <c r="B34" t="inlineStr">
        <is>
          <t>Dentista</t>
        </is>
      </c>
      <c r="C34" t="inlineStr">
        <is>
          <t>Clínica Curull</t>
        </is>
      </c>
      <c r="D34" t="inlineStr">
        <is>
          <t>Tarragona</t>
        </is>
      </c>
      <c r="E34" t="inlineStr">
        <is>
          <t>Rambla Nova, 114</t>
        </is>
      </c>
      <c r="F34" t="inlineStr">
        <is>
          <t>977 24 13 80</t>
        </is>
      </c>
      <c r="G34" t="inlineStr">
        <is>
          <t>No (fijo: llamar)</t>
        </is>
      </c>
      <c r="H34" t="inlineStr"/>
      <c r="I34" s="2" t="inlineStr">
        <is>
          <t>Hola! Soy Marcos, de Tarragona. He leído la web de Clínica Curull y he reescrito vuestro texto de presentación para que convenza más a quien la visita. ¿Os lo envío gratis para que lo veáis?</t>
        </is>
      </c>
      <c r="J34" t="inlineStr">
        <is>
          <t>Pendiente</t>
        </is>
      </c>
      <c r="K34" t="inlineStr"/>
    </row>
    <row r="35">
      <c r="A35" t="n">
        <v>34</v>
      </c>
      <c r="B35" t="inlineStr">
        <is>
          <t>Dentista</t>
        </is>
      </c>
      <c r="C35" t="inlineStr">
        <is>
          <t>Noguera Clínica Dental</t>
        </is>
      </c>
      <c r="D35" t="inlineStr">
        <is>
          <t>Tarragona</t>
        </is>
      </c>
      <c r="E35" t="inlineStr">
        <is>
          <t>C/ Pare Palau, 5, entl.</t>
        </is>
      </c>
      <c r="F35" t="inlineStr">
        <is>
          <t>977 22 16 14</t>
        </is>
      </c>
      <c r="G35" t="inlineStr">
        <is>
          <t>No (fijo: llamar)</t>
        </is>
      </c>
      <c r="H35" t="inlineStr"/>
      <c r="I35" s="2" t="inlineStr">
        <is>
          <t>Hola! Soy Marcos, de Tarragona. He leído la web de Noguera Clínica Dental y he reescrito vuestro texto de presentación para que convenza más a quien la visita. ¿Os lo envío gratis para que lo veáis?</t>
        </is>
      </c>
      <c r="J35" t="inlineStr">
        <is>
          <t>Pendiente</t>
        </is>
      </c>
      <c r="K35" t="inlineStr"/>
    </row>
    <row r="36">
      <c r="A36" t="n">
        <v>35</v>
      </c>
      <c r="B36" t="inlineStr">
        <is>
          <t>Dentista</t>
        </is>
      </c>
      <c r="C36" t="inlineStr">
        <is>
          <t>Clínica Dental A. Boronat</t>
        </is>
      </c>
      <c r="D36" t="inlineStr">
        <is>
          <t>Tarragona</t>
        </is>
      </c>
      <c r="E36" t="inlineStr">
        <is>
          <t>Rambla Nova, 80</t>
        </is>
      </c>
      <c r="F36" t="inlineStr">
        <is>
          <t>977 23 77 18</t>
        </is>
      </c>
      <c r="G36" t="inlineStr">
        <is>
          <t>No (fijo: llamar)</t>
        </is>
      </c>
      <c r="H36" t="inlineStr"/>
      <c r="I36" s="2" t="inlineStr">
        <is>
          <t>Hola! Soy Marcos, de Tarragona. He leído la web de Clínica Dental A. Boronat y he reescrito vuestro texto de presentación para que convenza más a quien la visita. ¿Os lo envío gratis para que lo veáis?</t>
        </is>
      </c>
      <c r="J36" t="inlineStr">
        <is>
          <t>Pendiente</t>
        </is>
      </c>
      <c r="K36" t="inlineStr"/>
    </row>
    <row r="37">
      <c r="A37" t="n">
        <v>36</v>
      </c>
      <c r="B37" t="inlineStr">
        <is>
          <t>Dentista</t>
        </is>
      </c>
      <c r="C37" t="inlineStr">
        <is>
          <t>Lasdent</t>
        </is>
      </c>
      <c r="D37" t="inlineStr">
        <is>
          <t>Tarragona</t>
        </is>
      </c>
      <c r="E37" t="inlineStr">
        <is>
          <t>C/ Francesc Bastos, 18</t>
        </is>
      </c>
      <c r="F37" t="inlineStr">
        <is>
          <t>977 22 69 07</t>
        </is>
      </c>
      <c r="G37" t="inlineStr">
        <is>
          <t>No (fijo: llamar)</t>
        </is>
      </c>
      <c r="H37" t="inlineStr"/>
      <c r="I37" s="2" t="inlineStr">
        <is>
          <t>Hola! Soy Marcos, de Tarragona. He leído la web de Lasdent y he reescrito vuestro texto de presentación para que convenza más a quien la visita. ¿Os lo envío gratis para que lo veáis?</t>
        </is>
      </c>
      <c r="J37" t="inlineStr">
        <is>
          <t>Pendiente</t>
        </is>
      </c>
      <c r="K37" t="inlineStr"/>
    </row>
    <row r="38">
      <c r="A38" t="n">
        <v>37</v>
      </c>
      <c r="B38" t="inlineStr">
        <is>
          <t>Psicología</t>
        </is>
      </c>
      <c r="C38" t="inlineStr">
        <is>
          <t>Centro Psicológico Torguet</t>
        </is>
      </c>
      <c r="D38" t="inlineStr">
        <is>
          <t>Tarragona</t>
        </is>
      </c>
      <c r="E38" t="inlineStr">
        <is>
          <t>Rambla Nova, 96</t>
        </is>
      </c>
      <c r="F38" t="inlineStr">
        <is>
          <t>607 23 07 01</t>
        </is>
      </c>
      <c r="G38" t="inlineStr">
        <is>
          <t>Sí (móvil)</t>
        </is>
      </c>
      <c r="H38" s="3" t="inlineStr">
        <is>
          <t>https://wa.me/34607230701</t>
        </is>
      </c>
      <c r="I38" s="2" t="inlineStr">
        <is>
          <t>Hola! Soy Marcos, de Tarragona. He leído la web de Centro Psicológico Torguet y he reescrito vuestro texto de presentación para que convenza más a quien la visita. ¿Os lo envío gratis para que lo veáis?</t>
        </is>
      </c>
      <c r="J38" t="inlineStr">
        <is>
          <t>Pendiente</t>
        </is>
      </c>
      <c r="K38" t="inlineStr"/>
    </row>
    <row r="39">
      <c r="A39" t="n">
        <v>38</v>
      </c>
      <c r="B39" t="inlineStr">
        <is>
          <t>Psicología</t>
        </is>
      </c>
      <c r="C39" t="inlineStr">
        <is>
          <t>SN Psicología</t>
        </is>
      </c>
      <c r="D39" t="inlineStr">
        <is>
          <t>Tarragona</t>
        </is>
      </c>
      <c r="E39" t="inlineStr">
        <is>
          <t>Rambla Nova, 21</t>
        </is>
      </c>
      <c r="F39" t="inlineStr">
        <is>
          <t>654 07 56 38</t>
        </is>
      </c>
      <c r="G39" t="inlineStr">
        <is>
          <t>Sí (móvil)</t>
        </is>
      </c>
      <c r="H39" s="3" t="inlineStr">
        <is>
          <t>https://wa.me/34654075638</t>
        </is>
      </c>
      <c r="I39" s="2" t="inlineStr">
        <is>
          <t>Hola! Soy Marcos, de Tarragona. He leído la web de SN Psicología y he reescrito vuestro texto de presentación para que convenza más a quien la visita. ¿Os lo envío gratis para que lo veáis?</t>
        </is>
      </c>
      <c r="J39" t="inlineStr">
        <is>
          <t>Pendiente</t>
        </is>
      </c>
      <c r="K39" t="inlineStr"/>
    </row>
    <row r="40">
      <c r="A40" t="n">
        <v>39</v>
      </c>
      <c r="B40" t="inlineStr">
        <is>
          <t>Psicología</t>
        </is>
      </c>
      <c r="C40" t="inlineStr">
        <is>
          <t>Psicólogos Tarragona</t>
        </is>
      </c>
      <c r="D40" t="inlineStr">
        <is>
          <t>Tarragona</t>
        </is>
      </c>
      <c r="E40" t="inlineStr">
        <is>
          <t>Via de l'Imperi Romà</t>
        </is>
      </c>
      <c r="F40" t="inlineStr">
        <is>
          <t>670 68 86 05</t>
        </is>
      </c>
      <c r="G40" t="inlineStr">
        <is>
          <t>Sí (móvil)</t>
        </is>
      </c>
      <c r="H40" s="3" t="inlineStr">
        <is>
          <t>https://wa.me/34670688605</t>
        </is>
      </c>
      <c r="I40" s="2" t="inlineStr">
        <is>
          <t>Hola! Soy Marcos, de Tarragona. He leído la web de Psicólogos Tarragona y he reescrito vuestro texto de presentación para que convenza más a quien la visita. ¿Os lo envío gratis para que lo veáis?</t>
        </is>
      </c>
      <c r="J40" t="inlineStr">
        <is>
          <t>Pendiente</t>
        </is>
      </c>
      <c r="K40" t="inlineStr"/>
    </row>
    <row r="41">
      <c r="A41" t="n">
        <v>40</v>
      </c>
      <c r="B41" t="inlineStr">
        <is>
          <t>Psicología</t>
        </is>
      </c>
      <c r="C41" t="inlineStr">
        <is>
          <t>Respira Psicología</t>
        </is>
      </c>
      <c r="D41" t="inlineStr">
        <is>
          <t>Tarragona</t>
        </is>
      </c>
      <c r="E41" t="inlineStr">
        <is>
          <t>C/ Pere Martell, 9</t>
        </is>
      </c>
      <c r="F41" t="inlineStr">
        <is>
          <t>640 17 23 70</t>
        </is>
      </c>
      <c r="G41" t="inlineStr">
        <is>
          <t>Sí (móvil)</t>
        </is>
      </c>
      <c r="H41" s="3" t="inlineStr">
        <is>
          <t>https://wa.me/34640172370</t>
        </is>
      </c>
      <c r="I41" s="2" t="inlineStr">
        <is>
          <t>Hola! Soy Marcos, de Tarragona. He leído la web de Respira Psicología y he reescrito vuestro texto de presentación para que convenza más a quien la visita. ¿Os lo envío gratis para que lo veáis?</t>
        </is>
      </c>
      <c r="J41" t="inlineStr">
        <is>
          <t>Pendiente</t>
        </is>
      </c>
      <c r="K41" t="inlineStr"/>
    </row>
    <row r="42">
      <c r="A42" t="n">
        <v>41</v>
      </c>
      <c r="B42" t="inlineStr">
        <is>
          <t>Psicología</t>
        </is>
      </c>
      <c r="C42" t="inlineStr">
        <is>
          <t>Nuria Armengol Psicóloga</t>
        </is>
      </c>
      <c r="D42" t="inlineStr">
        <is>
          <t>Tarragona</t>
        </is>
      </c>
      <c r="E42" t="inlineStr">
        <is>
          <t>—</t>
        </is>
      </c>
      <c r="F42" t="inlineStr">
        <is>
          <t>624 61 98 01</t>
        </is>
      </c>
      <c r="G42" t="inlineStr">
        <is>
          <t>Sí (móvil)</t>
        </is>
      </c>
      <c r="H42" s="3" t="inlineStr">
        <is>
          <t>https://wa.me/34624619801</t>
        </is>
      </c>
      <c r="I42" s="2" t="inlineStr">
        <is>
          <t>Hola! Soy Marcos, de Tarragona. He leído la web de Nuria Armengol Psicóloga y he reescrito vuestro texto de presentación para que convenza más a quien la visita. ¿Os lo envío gratis para que lo veáis?</t>
        </is>
      </c>
      <c r="J42" t="inlineStr">
        <is>
          <t>Pendiente</t>
        </is>
      </c>
      <c r="K42" t="inlineStr"/>
    </row>
    <row r="43">
      <c r="A43" t="n">
        <v>42</v>
      </c>
      <c r="B43" t="inlineStr">
        <is>
          <t>Psicología</t>
        </is>
      </c>
      <c r="C43" t="inlineStr">
        <is>
          <t>Victoria García Masip (LAIA)</t>
        </is>
      </c>
      <c r="D43" t="inlineStr">
        <is>
          <t>Tarragona</t>
        </is>
      </c>
      <c r="E43" t="inlineStr">
        <is>
          <t>—</t>
        </is>
      </c>
      <c r="F43" t="inlineStr">
        <is>
          <t>652 41 24 90</t>
        </is>
      </c>
      <c r="G43" t="inlineStr">
        <is>
          <t>Sí (móvil)</t>
        </is>
      </c>
      <c r="H43" s="3" t="inlineStr">
        <is>
          <t>https://wa.me/34652412490</t>
        </is>
      </c>
      <c r="I43" s="2" t="inlineStr">
        <is>
          <t>Hola! Soy Marcos, de Tarragona. He leído la web de Victoria García Masip (LAIA) y he reescrito vuestro texto de presentación para que convenza más a quien la visita. ¿Os lo envío gratis para que lo veáis?</t>
        </is>
      </c>
      <c r="J43" t="inlineStr">
        <is>
          <t>Pendiente</t>
        </is>
      </c>
      <c r="K43" t="inlineStr"/>
    </row>
    <row r="44">
      <c r="A44" t="n">
        <v>43</v>
      </c>
      <c r="B44" t="inlineStr">
        <is>
          <t>Psicología</t>
        </is>
      </c>
      <c r="C44" t="inlineStr">
        <is>
          <t>Equilibrium Psicología</t>
        </is>
      </c>
      <c r="D44" t="inlineStr">
        <is>
          <t>Tarragona</t>
        </is>
      </c>
      <c r="E44" t="inlineStr">
        <is>
          <t>Av. Catalunya, 22</t>
        </is>
      </c>
      <c r="F44" t="inlineStr">
        <is>
          <t>659 79 13 45</t>
        </is>
      </c>
      <c r="G44" t="inlineStr">
        <is>
          <t>Sí (móvil)</t>
        </is>
      </c>
      <c r="H44" s="3" t="inlineStr">
        <is>
          <t>https://wa.me/34659791345</t>
        </is>
      </c>
      <c r="I44" s="2" t="inlineStr">
        <is>
          <t>Hola! Soy Marcos, de Tarragona. He leído la web de Equilibrium Psicología y he reescrito vuestro texto de presentación para que convenza más a quien la visita. ¿Os lo envío gratis para que lo veáis?</t>
        </is>
      </c>
      <c r="J44" t="inlineStr">
        <is>
          <t>Pendiente</t>
        </is>
      </c>
      <c r="K44" t="inlineStr"/>
    </row>
    <row r="45">
      <c r="A45" t="n">
        <v>44</v>
      </c>
      <c r="B45" t="inlineStr">
        <is>
          <t>Psicología</t>
        </is>
      </c>
      <c r="C45" t="inlineStr">
        <is>
          <t>PsicodinamicS</t>
        </is>
      </c>
      <c r="D45" t="inlineStr">
        <is>
          <t>Tarragona</t>
        </is>
      </c>
      <c r="E45" t="inlineStr">
        <is>
          <t>C/ Ramón y Cajal, 38</t>
        </is>
      </c>
      <c r="F45" t="inlineStr">
        <is>
          <t>685 50 60 68</t>
        </is>
      </c>
      <c r="G45" t="inlineStr">
        <is>
          <t>Sí (móvil)</t>
        </is>
      </c>
      <c r="H45" s="3" t="inlineStr">
        <is>
          <t>https://wa.me/34685506068</t>
        </is>
      </c>
      <c r="I45" s="2" t="inlineStr">
        <is>
          <t>Hola! Soy Marcos, de Tarragona. He leído la web de PsicodinamicS y he reescrito vuestro texto de presentación para que convenza más a quien la visita. ¿Os lo envío gratis para que lo veáis?</t>
        </is>
      </c>
      <c r="J45" t="inlineStr">
        <is>
          <t>Pendiente</t>
        </is>
      </c>
      <c r="K45" t="inlineStr"/>
    </row>
    <row r="46">
      <c r="A46" t="n">
        <v>45</v>
      </c>
      <c r="B46" t="inlineStr">
        <is>
          <t>Psicología</t>
        </is>
      </c>
      <c r="C46" t="inlineStr">
        <is>
          <t>Centro Psicológico Rinicia</t>
        </is>
      </c>
      <c r="D46" t="inlineStr">
        <is>
          <t>Tarragona</t>
        </is>
      </c>
      <c r="E46" t="inlineStr">
        <is>
          <t>—</t>
        </is>
      </c>
      <c r="F46" t="inlineStr">
        <is>
          <t>628 82 14 56</t>
        </is>
      </c>
      <c r="G46" t="inlineStr">
        <is>
          <t>Sí (móvil)</t>
        </is>
      </c>
      <c r="H46" s="3" t="inlineStr">
        <is>
          <t>https://wa.me/34628821456</t>
        </is>
      </c>
      <c r="I46" s="2" t="inlineStr">
        <is>
          <t>Hola! Soy Marcos, de Tarragona. He leído la web de Centro Psicológico Rinicia y he reescrito vuestro texto de presentación para que convenza más a quien la visita. ¿Os lo envío gratis para que lo veáis?</t>
        </is>
      </c>
      <c r="J46" t="inlineStr">
        <is>
          <t>Pendiente</t>
        </is>
      </c>
      <c r="K46" t="inlineStr"/>
    </row>
    <row r="47">
      <c r="A47" t="n">
        <v>46</v>
      </c>
      <c r="B47" t="inlineStr">
        <is>
          <t>Psicología</t>
        </is>
      </c>
      <c r="C47" t="inlineStr">
        <is>
          <t>Alicia González Psicología</t>
        </is>
      </c>
      <c r="D47" t="inlineStr">
        <is>
          <t>Tarragona</t>
        </is>
      </c>
      <c r="E47" t="inlineStr">
        <is>
          <t>—</t>
        </is>
      </c>
      <c r="F47" t="inlineStr">
        <is>
          <t>613 00 04 59</t>
        </is>
      </c>
      <c r="G47" t="inlineStr">
        <is>
          <t>Sí (móvil)</t>
        </is>
      </c>
      <c r="H47" s="3" t="inlineStr">
        <is>
          <t>https://wa.me/34613000459</t>
        </is>
      </c>
      <c r="I47" s="2" t="inlineStr">
        <is>
          <t>Hola! Soy Marcos, de Tarragona. He leído la web de Alicia González Psicología y he reescrito vuestro texto de presentación para que convenza más a quien la visita. ¿Os lo envío gratis para que lo veáis?</t>
        </is>
      </c>
      <c r="J47" t="inlineStr">
        <is>
          <t>Pendiente</t>
        </is>
      </c>
      <c r="K47" t="inlineStr"/>
    </row>
    <row r="48">
      <c r="A48" t="n">
        <v>47</v>
      </c>
      <c r="B48" t="inlineStr">
        <is>
          <t>Inmobiliaria</t>
        </is>
      </c>
      <c r="C48" t="inlineStr">
        <is>
          <t>Tecnocasa Centre</t>
        </is>
      </c>
      <c r="D48" t="inlineStr">
        <is>
          <t>Tarragona</t>
        </is>
      </c>
      <c r="E48" t="inlineStr">
        <is>
          <t>C/ Cristòfor Colom, 24, loc. 2</t>
        </is>
      </c>
      <c r="F48" t="inlineStr">
        <is>
          <t>977 94 91 66</t>
        </is>
      </c>
      <c r="G48" t="inlineStr">
        <is>
          <t>No (fijo: llamar)</t>
        </is>
      </c>
      <c r="H48" t="inlineStr"/>
      <c r="I48" s="2" t="inlineStr">
        <is>
          <t>Hola! Soy Marcos, de Tarragona. He leído la web de Tecnocasa Centre y he reescrito vuestro texto de presentación para que convenza más a quien la visita. ¿Os lo envío gratis para que lo veáis?</t>
        </is>
      </c>
      <c r="J48" t="inlineStr">
        <is>
          <t>Pendiente</t>
        </is>
      </c>
      <c r="K48" t="inlineStr"/>
    </row>
    <row r="49">
      <c r="A49" t="n">
        <v>48</v>
      </c>
      <c r="B49" t="inlineStr">
        <is>
          <t>Inmobiliaria</t>
        </is>
      </c>
      <c r="C49" t="inlineStr">
        <is>
          <t>Immobiliària Hàbitat</t>
        </is>
      </c>
      <c r="D49" t="inlineStr">
        <is>
          <t>Tarragona</t>
        </is>
      </c>
      <c r="E49" t="inlineStr">
        <is>
          <t>Av. Ramón y Cajal, 29</t>
        </is>
      </c>
      <c r="F49" t="inlineStr">
        <is>
          <t>615 56 16 06</t>
        </is>
      </c>
      <c r="G49" t="inlineStr">
        <is>
          <t>Sí (móvil)</t>
        </is>
      </c>
      <c r="H49" s="3" t="inlineStr">
        <is>
          <t>https://wa.me/34615561606</t>
        </is>
      </c>
      <c r="I49" s="2" t="inlineStr">
        <is>
          <t>Hola! Soy Marcos, de Tarragona. He leído la web de Immobiliària Hàbitat y he reescrito vuestro texto de presentación para que convenza más a quien la visita. ¿Os lo envío gratis para que lo veáis?</t>
        </is>
      </c>
      <c r="J49" t="inlineStr">
        <is>
          <t>Pendiente</t>
        </is>
      </c>
      <c r="K49" t="inlineStr"/>
    </row>
    <row r="50">
      <c r="A50" t="n">
        <v>49</v>
      </c>
      <c r="B50" t="inlineStr">
        <is>
          <t>Inmobiliaria</t>
        </is>
      </c>
      <c r="C50" t="inlineStr">
        <is>
          <t>El Piset Inmobiliaria</t>
        </is>
      </c>
      <c r="D50" t="inlineStr">
        <is>
          <t>Tarragona</t>
        </is>
      </c>
      <c r="E50" t="inlineStr">
        <is>
          <t>Av. Ramón y Cajal, 6</t>
        </is>
      </c>
      <c r="F50" t="inlineStr">
        <is>
          <t>618 05 62 26</t>
        </is>
      </c>
      <c r="G50" t="inlineStr">
        <is>
          <t>Sí (móvil)</t>
        </is>
      </c>
      <c r="H50" s="3" t="inlineStr">
        <is>
          <t>https://wa.me/34618056226</t>
        </is>
      </c>
      <c r="I50" s="2" t="inlineStr">
        <is>
          <t>Hola! Soy Marcos, de Tarragona. He leído la web de El Piset Inmobiliaria y he reescrito vuestro texto de presentación para que convenza más a quien la visita. ¿Os lo envío gratis para que lo veáis?</t>
        </is>
      </c>
      <c r="J50" t="inlineStr">
        <is>
          <t>Pendiente</t>
        </is>
      </c>
      <c r="K50" t="inlineStr"/>
    </row>
    <row r="51">
      <c r="A51" t="n">
        <v>50</v>
      </c>
      <c r="B51" t="inlineStr">
        <is>
          <t>Inmobiliaria</t>
        </is>
      </c>
      <c r="C51" t="inlineStr">
        <is>
          <t>Century 21 Inmovip</t>
        </is>
      </c>
      <c r="D51" t="inlineStr">
        <is>
          <t>Tarragona</t>
        </is>
      </c>
      <c r="E51" t="inlineStr">
        <is>
          <t>Rambla Nova, 20</t>
        </is>
      </c>
      <c r="F51" t="inlineStr">
        <is>
          <t>977 42 50 00</t>
        </is>
      </c>
      <c r="G51" t="inlineStr">
        <is>
          <t>No (fijo: llamar)</t>
        </is>
      </c>
      <c r="H51" t="inlineStr"/>
      <c r="I51" s="2" t="inlineStr">
        <is>
          <t>Hola! Soy Marcos, de Tarragona. He leído la web de Century 21 Inmovip y he reescrito vuestro texto de presentación para que convenza más a quien la visita. ¿Os lo envío gratis para que lo veáis?</t>
        </is>
      </c>
      <c r="J51" t="inlineStr">
        <is>
          <t>Pendiente</t>
        </is>
      </c>
      <c r="K51" t="inlineStr"/>
    </row>
    <row r="52">
      <c r="A52" t="n">
        <v>51</v>
      </c>
      <c r="B52" t="inlineStr">
        <is>
          <t>Inmobiliaria</t>
        </is>
      </c>
      <c r="C52" t="inlineStr">
        <is>
          <t>Marc Cornago Experts Immobiliaris</t>
        </is>
      </c>
      <c r="D52" t="inlineStr">
        <is>
          <t>Tarragona</t>
        </is>
      </c>
      <c r="E52" t="inlineStr">
        <is>
          <t>Rambla Vella, 43</t>
        </is>
      </c>
      <c r="F52" t="inlineStr">
        <is>
          <t>603 95 41 86</t>
        </is>
      </c>
      <c r="G52" t="inlineStr">
        <is>
          <t>Sí (móvil)</t>
        </is>
      </c>
      <c r="H52" s="3" t="inlineStr">
        <is>
          <t>https://wa.me/34603954186</t>
        </is>
      </c>
      <c r="I52" s="2" t="inlineStr">
        <is>
          <t>Hola! Soy Marcos, de Tarragona. He leído la web de Marc Cornago Experts Immobiliaris y he reescrito vuestro texto de presentación para que convenza más a quien la visita. ¿Os lo envío gratis para que lo veáis?</t>
        </is>
      </c>
      <c r="J52" t="inlineStr">
        <is>
          <t>Pendiente</t>
        </is>
      </c>
      <c r="K52" t="inlineStr"/>
    </row>
    <row r="53">
      <c r="A53" t="n">
        <v>52</v>
      </c>
      <c r="B53" t="inlineStr">
        <is>
          <t>Inmobiliaria</t>
        </is>
      </c>
      <c r="C53" t="inlineStr">
        <is>
          <t>Innovare Inversiones Inmobiliarias</t>
        </is>
      </c>
      <c r="D53" t="inlineStr">
        <is>
          <t>Tarragona</t>
        </is>
      </c>
      <c r="E53" t="inlineStr">
        <is>
          <t>C/ Eivissa, 24</t>
        </is>
      </c>
      <c r="F53" t="inlineStr">
        <is>
          <t>602 33 78 59</t>
        </is>
      </c>
      <c r="G53" t="inlineStr">
        <is>
          <t>Sí (móvil)</t>
        </is>
      </c>
      <c r="H53" s="3" t="inlineStr">
        <is>
          <t>https://wa.me/34602337859</t>
        </is>
      </c>
      <c r="I53" s="2" t="inlineStr">
        <is>
          <t>Hola! Soy Marcos, de Tarragona. He leído la web de Innovare Inversiones Inmobiliarias y he reescrito vuestro texto de presentación para que convenza más a quien la visita. ¿Os lo envío gratis para que lo veáis?</t>
        </is>
      </c>
      <c r="J53" t="inlineStr">
        <is>
          <t>Pendiente</t>
        </is>
      </c>
      <c r="K53" t="inlineStr"/>
    </row>
    <row r="54">
      <c r="A54" t="n">
        <v>53</v>
      </c>
      <c r="B54" t="inlineStr">
        <is>
          <t>Academia</t>
        </is>
      </c>
      <c r="C54" t="inlineStr">
        <is>
          <t>L'Acadèmia Reforç Escolar</t>
        </is>
      </c>
      <c r="D54" t="inlineStr">
        <is>
          <t>Tarragona</t>
        </is>
      </c>
      <c r="E54" t="inlineStr">
        <is>
          <t>C/ Llorenç Villalonga, 5</t>
        </is>
      </c>
      <c r="F54" t="inlineStr">
        <is>
          <t>662 931 935</t>
        </is>
      </c>
      <c r="G54" t="inlineStr">
        <is>
          <t>Sí (móvil)</t>
        </is>
      </c>
      <c r="H54" s="3" t="inlineStr">
        <is>
          <t>https://wa.me/34662931935</t>
        </is>
      </c>
      <c r="I54" s="2" t="inlineStr">
        <is>
          <t>Hola! Soy Marcos, de Tarragona. He leído la web de L'Acadèmia Reforç Escolar y he reescrito vuestro texto de presentación para que convenza más a quien la visita. ¿Os lo envío gratis para que lo veáis?</t>
        </is>
      </c>
      <c r="J54" t="inlineStr">
        <is>
          <t>Pendiente</t>
        </is>
      </c>
      <c r="K54" t="inlineStr"/>
    </row>
    <row r="55">
      <c r="A55" t="n">
        <v>54</v>
      </c>
      <c r="B55" t="inlineStr">
        <is>
          <t>Academia</t>
        </is>
      </c>
      <c r="C55" t="inlineStr">
        <is>
          <t>Acadèmia A+</t>
        </is>
      </c>
      <c r="D55" t="inlineStr">
        <is>
          <t>Tarragona</t>
        </is>
      </c>
      <c r="E55" t="inlineStr">
        <is>
          <t>Av. Ramón y Cajal, 17</t>
        </is>
      </c>
      <c r="F55" t="inlineStr">
        <is>
          <t>625 91 20 75</t>
        </is>
      </c>
      <c r="G55" t="inlineStr">
        <is>
          <t>Sí (móvil)</t>
        </is>
      </c>
      <c r="H55" s="3" t="inlineStr">
        <is>
          <t>https://wa.me/34625912075</t>
        </is>
      </c>
      <c r="I55" s="2" t="inlineStr">
        <is>
          <t>Hola! Soy Marcos, de Tarragona. He leído la web de Acadèmia A+ y he reescrito vuestro texto de presentación para que convenza más a quien la visita. ¿Os lo envío gratis para que lo veáis?</t>
        </is>
      </c>
      <c r="J55" t="inlineStr">
        <is>
          <t>Pendiente</t>
        </is>
      </c>
      <c r="K55" t="inlineStr"/>
    </row>
    <row r="56">
      <c r="A56" t="n">
        <v>55</v>
      </c>
      <c r="B56" t="inlineStr">
        <is>
          <t>Academia</t>
        </is>
      </c>
      <c r="C56" t="inlineStr">
        <is>
          <t>Aula Magna</t>
        </is>
      </c>
      <c r="D56" t="inlineStr">
        <is>
          <t>Tarragona</t>
        </is>
      </c>
      <c r="E56" t="inlineStr">
        <is>
          <t>Av. Argentina, 11</t>
        </is>
      </c>
      <c r="F56" t="inlineStr">
        <is>
          <t>977 22 22 77</t>
        </is>
      </c>
      <c r="G56" t="inlineStr">
        <is>
          <t>No (fijo: llamar)</t>
        </is>
      </c>
      <c r="H56" t="inlineStr"/>
      <c r="I56" s="2" t="inlineStr">
        <is>
          <t>Hola! Soy Marcos, de Tarragona. He leído la web de Aula Magna y he reescrito vuestro texto de presentación para que convenza más a quien la visita. ¿Os lo envío gratis para que lo veáis?</t>
        </is>
      </c>
      <c r="J56" t="inlineStr">
        <is>
          <t>Pendiente</t>
        </is>
      </c>
      <c r="K56" t="inlineStr"/>
    </row>
    <row r="57">
      <c r="A57" t="n">
        <v>56</v>
      </c>
      <c r="B57" t="inlineStr">
        <is>
          <t>Autoescuela</t>
        </is>
      </c>
      <c r="C57" t="inlineStr">
        <is>
          <t>Autoescuela Rally</t>
        </is>
      </c>
      <c r="D57" t="inlineStr">
        <is>
          <t>Reus</t>
        </is>
      </c>
      <c r="E57" t="inlineStr">
        <is>
          <t>C/ Antiquaris, 2</t>
        </is>
      </c>
      <c r="F57" t="inlineStr">
        <is>
          <t>977 77 35 66</t>
        </is>
      </c>
      <c r="G57" t="inlineStr">
        <is>
          <t>No (fijo: llamar)</t>
        </is>
      </c>
      <c r="H57" t="inlineStr"/>
      <c r="I57" s="2" t="inlineStr">
        <is>
          <t>Hola! Soy Marcos, de Tarragona. He leído la web de Autoescuela Rally y he reescrito vuestro texto de presentación para que convenza más a quien la visita. ¿Os lo envío gratis para que lo veáis?</t>
        </is>
      </c>
      <c r="J57" t="inlineStr">
        <is>
          <t>Pendiente</t>
        </is>
      </c>
      <c r="K57" t="inlineStr"/>
    </row>
    <row r="58">
      <c r="A58" t="n">
        <v>57</v>
      </c>
      <c r="B58" t="inlineStr">
        <is>
          <t>Autoescuela</t>
        </is>
      </c>
      <c r="C58" t="inlineStr">
        <is>
          <t>Autoescola Prim</t>
        </is>
      </c>
      <c r="D58" t="inlineStr">
        <is>
          <t>Reus</t>
        </is>
      </c>
      <c r="E58" t="inlineStr">
        <is>
          <t>Av. Prat de la Riba, 12</t>
        </is>
      </c>
      <c r="F58" t="inlineStr">
        <is>
          <t>977 31 89 07</t>
        </is>
      </c>
      <c r="G58" t="inlineStr">
        <is>
          <t>No (fijo: llamar)</t>
        </is>
      </c>
      <c r="H58" t="inlineStr"/>
      <c r="I58" s="2" t="inlineStr">
        <is>
          <t>Hola! Soy Marcos, de Tarragona. He leído la web de Autoescola Prim y he reescrito vuestro texto de presentación para que convenza más a quien la visita. ¿Os lo envío gratis para que lo veáis?</t>
        </is>
      </c>
      <c r="J58" t="inlineStr">
        <is>
          <t>Pendiente</t>
        </is>
      </c>
      <c r="K58" t="inlineStr"/>
    </row>
    <row r="59">
      <c r="A59" t="n">
        <v>58</v>
      </c>
      <c r="B59" t="inlineStr">
        <is>
          <t>Autoescuela</t>
        </is>
      </c>
      <c r="C59" t="inlineStr">
        <is>
          <t>Autoescola Cantons</t>
        </is>
      </c>
      <c r="D59" t="inlineStr">
        <is>
          <t>Reus</t>
        </is>
      </c>
      <c r="E59" t="inlineStr">
        <is>
          <t>C/ Cambrils, 6</t>
        </is>
      </c>
      <c r="F59" t="inlineStr">
        <is>
          <t>977 75 08 40</t>
        </is>
      </c>
      <c r="G59" t="inlineStr">
        <is>
          <t>No (fijo: llamar)</t>
        </is>
      </c>
      <c r="H59" t="inlineStr"/>
      <c r="I59" s="2" t="inlineStr">
        <is>
          <t>Hola! Soy Marcos, de Tarragona. He leído la web de Autoescola Cantons y he reescrito vuestro texto de presentación para que convenza más a quien la visita. ¿Os lo envío gratis para que lo veáis?</t>
        </is>
      </c>
      <c r="J59" t="inlineStr">
        <is>
          <t>Pendiente</t>
        </is>
      </c>
      <c r="K59" t="inlineStr"/>
    </row>
    <row r="60">
      <c r="A60" t="n">
        <v>59</v>
      </c>
      <c r="B60" t="inlineStr">
        <is>
          <t>Autoescuela</t>
        </is>
      </c>
      <c r="C60" t="inlineStr">
        <is>
          <t>Autoescola NOVO Reus</t>
        </is>
      </c>
      <c r="D60" t="inlineStr">
        <is>
          <t>Reus</t>
        </is>
      </c>
      <c r="E60" t="inlineStr">
        <is>
          <t>C/ Alcalde Joan Bertran, 34-38</t>
        </is>
      </c>
      <c r="F60" t="inlineStr">
        <is>
          <t>977 33 32 15</t>
        </is>
      </c>
      <c r="G60" t="inlineStr">
        <is>
          <t>No (fijo: llamar)</t>
        </is>
      </c>
      <c r="H60" t="inlineStr"/>
      <c r="I60" s="2" t="inlineStr">
        <is>
          <t>Hola! Soy Marcos, de Tarragona. He leído la web de Autoescola NOVO Reus y he reescrito vuestro texto de presentación para que convenza más a quien la visita. ¿Os lo envío gratis para que lo veáis?</t>
        </is>
      </c>
      <c r="J60" t="inlineStr">
        <is>
          <t>Pendiente</t>
        </is>
      </c>
      <c r="K60" t="inlineStr"/>
    </row>
    <row r="61">
      <c r="A61" t="n">
        <v>60</v>
      </c>
      <c r="B61" t="inlineStr">
        <is>
          <t>Autoescuela</t>
        </is>
      </c>
      <c r="C61" t="inlineStr">
        <is>
          <t>Autoescola Baix Camp</t>
        </is>
      </c>
      <c r="D61" t="inlineStr">
        <is>
          <t>Reus</t>
        </is>
      </c>
      <c r="E61" t="inlineStr">
        <is>
          <t>Pl. Cultura de la Pau, 1</t>
        </is>
      </c>
      <c r="F61" t="inlineStr">
        <is>
          <t>977 31 46 99</t>
        </is>
      </c>
      <c r="G61" t="inlineStr">
        <is>
          <t>No (fijo: llamar)</t>
        </is>
      </c>
      <c r="H61" t="inlineStr"/>
      <c r="I61" s="2" t="inlineStr">
        <is>
          <t>Hola! Soy Marcos, de Tarragona. He leído la web de Autoescola Baix Camp y he reescrito vuestro texto de presentación para que convenza más a quien la visita. ¿Os lo envío gratis para que lo veáis?</t>
        </is>
      </c>
      <c r="J61" t="inlineStr">
        <is>
          <t>Pendiente</t>
        </is>
      </c>
      <c r="K61" t="inlineStr"/>
    </row>
    <row r="62">
      <c r="A62" t="n">
        <v>61</v>
      </c>
      <c r="B62" t="inlineStr">
        <is>
          <t>Autoescuela</t>
        </is>
      </c>
      <c r="C62" t="inlineStr">
        <is>
          <t>Autoescola Vallès</t>
        </is>
      </c>
      <c r="D62" t="inlineStr">
        <is>
          <t>Reus</t>
        </is>
      </c>
      <c r="E62" t="inlineStr">
        <is>
          <t>C/ Antoni Gaudí, 28</t>
        </is>
      </c>
      <c r="F62" t="inlineStr">
        <is>
          <t>977 32 74 62</t>
        </is>
      </c>
      <c r="G62" t="inlineStr">
        <is>
          <t>No (fijo: llamar)</t>
        </is>
      </c>
      <c r="H62" t="inlineStr"/>
      <c r="I62" s="2" t="inlineStr">
        <is>
          <t>Hola! Soy Marcos, de Tarragona. He leído la web de Autoescola Vallès y he reescrito vuestro texto de presentación para que convenza más a quien la visita. ¿Os lo envío gratis para que lo veáis?</t>
        </is>
      </c>
      <c r="J62" t="inlineStr">
        <is>
          <t>Pendiente</t>
        </is>
      </c>
      <c r="K62" t="inlineStr"/>
    </row>
    <row r="63">
      <c r="A63" t="n">
        <v>62</v>
      </c>
      <c r="B63" t="inlineStr">
        <is>
          <t>Autoescuela</t>
        </is>
      </c>
      <c r="C63" t="inlineStr">
        <is>
          <t>Autoescola Reus</t>
        </is>
      </c>
      <c r="D63" t="inlineStr">
        <is>
          <t>Reus</t>
        </is>
      </c>
      <c r="E63" t="inlineStr">
        <is>
          <t>Riera de Miró, 40-44</t>
        </is>
      </c>
      <c r="F63" t="inlineStr">
        <is>
          <t>609 66 95 84</t>
        </is>
      </c>
      <c r="G63" t="inlineStr">
        <is>
          <t>Sí (móvil)</t>
        </is>
      </c>
      <c r="H63" s="3" t="inlineStr">
        <is>
          <t>https://wa.me/34609669584</t>
        </is>
      </c>
      <c r="I63" s="2" t="inlineStr">
        <is>
          <t>Hola! Soy Marcos, de Tarragona. He leído la web de Autoescola Reus y he reescrito vuestro texto de presentación para que convenza más a quien la visita. ¿Os lo envío gratis para que lo veáis?</t>
        </is>
      </c>
      <c r="J63" t="inlineStr">
        <is>
          <t>Pendiente</t>
        </is>
      </c>
      <c r="K63" t="inlineStr"/>
    </row>
    <row r="64">
      <c r="A64" t="n">
        <v>63</v>
      </c>
      <c r="B64" t="inlineStr">
        <is>
          <t>Estética/Peluquería</t>
        </is>
      </c>
      <c r="C64" t="inlineStr">
        <is>
          <t>Encarni Estética y Peluquería</t>
        </is>
      </c>
      <c r="D64" t="inlineStr">
        <is>
          <t>Tarragona</t>
        </is>
      </c>
      <c r="E64" t="inlineStr">
        <is>
          <t>C/ Francesc Bastos, 10</t>
        </is>
      </c>
      <c r="F64" t="inlineStr">
        <is>
          <t>977 24 35 06</t>
        </is>
      </c>
      <c r="G64" t="inlineStr">
        <is>
          <t>No (fijo: llamar)</t>
        </is>
      </c>
      <c r="H64" t="inlineStr"/>
      <c r="I64" s="2" t="inlineStr">
        <is>
          <t>Hola! Soy Marcos, de Tarragona. He leído la web de Encarni Estética y Peluquería y he reescrito vuestro texto de presentación para que convenza más a quien la visita. ¿Os lo envío gratis para que lo veáis?</t>
        </is>
      </c>
      <c r="J64" t="inlineStr">
        <is>
          <t>Pendiente</t>
        </is>
      </c>
      <c r="K64" t="inlineStr"/>
    </row>
    <row r="65">
      <c r="A65" t="n">
        <v>64</v>
      </c>
      <c r="B65" t="inlineStr">
        <is>
          <t>Estética/Peluquería</t>
        </is>
      </c>
      <c r="C65" t="inlineStr">
        <is>
          <t>Peluquería Pina</t>
        </is>
      </c>
      <c r="D65" t="inlineStr">
        <is>
          <t>Tarragona</t>
        </is>
      </c>
      <c r="E65" t="inlineStr">
        <is>
          <t>C/ Canyelles, 3</t>
        </is>
      </c>
      <c r="F65" t="inlineStr">
        <is>
          <t>977 23 78 25</t>
        </is>
      </c>
      <c r="G65" t="inlineStr">
        <is>
          <t>No (fijo: llamar)</t>
        </is>
      </c>
      <c r="H65" t="inlineStr"/>
      <c r="I65" s="2" t="inlineStr">
        <is>
          <t>Hola! Soy Marcos, de Tarragona. He leído la web de Peluquería Pina y he reescrito vuestro texto de presentación para que convenza más a quien la visita. ¿Os lo envío gratis para que lo veáis?</t>
        </is>
      </c>
      <c r="J65" t="inlineStr">
        <is>
          <t>Pendiente</t>
        </is>
      </c>
      <c r="K65" t="inlineStr"/>
    </row>
    <row r="66">
      <c r="A66" t="n">
        <v>65</v>
      </c>
      <c r="B66" t="inlineStr">
        <is>
          <t>Estética/Peluquería</t>
        </is>
      </c>
      <c r="C66" t="inlineStr">
        <is>
          <t>Estètica Perruqueria Pau</t>
        </is>
      </c>
      <c r="D66" t="inlineStr">
        <is>
          <t>Tarragona</t>
        </is>
      </c>
      <c r="E66" t="inlineStr">
        <is>
          <t>C/ Pau del Protectorat, 26</t>
        </is>
      </c>
      <c r="F66" t="inlineStr">
        <is>
          <t>653 49 86 55</t>
        </is>
      </c>
      <c r="G66" t="inlineStr">
        <is>
          <t>Sí (móvil)</t>
        </is>
      </c>
      <c r="H66" s="3" t="inlineStr">
        <is>
          <t>https://wa.me/34653498655</t>
        </is>
      </c>
      <c r="I66" s="2" t="inlineStr">
        <is>
          <t>Hola! Soy Marcos, de Tarragona. He leído la web de Estètica Perruqueria Pau y he reescrito vuestro texto de presentación para que convenza más a quien la visita. ¿Os lo envío gratis para que lo veáis?</t>
        </is>
      </c>
      <c r="J66" t="inlineStr">
        <is>
          <t>Pendiente</t>
        </is>
      </c>
      <c r="K66" t="inlineStr"/>
    </row>
    <row r="67">
      <c r="A67" t="n">
        <v>66</v>
      </c>
      <c r="B67" t="inlineStr">
        <is>
          <t>Estética/Peluquería</t>
        </is>
      </c>
      <c r="C67" t="inlineStr">
        <is>
          <t>Estética y Peluquería Lori Ari</t>
        </is>
      </c>
      <c r="D67" t="inlineStr">
        <is>
          <t>Tarragona</t>
        </is>
      </c>
      <c r="E67" t="inlineStr">
        <is>
          <t>C/ Mossèn Ritort i Faus, 5</t>
        </is>
      </c>
      <c r="F67" t="inlineStr">
        <is>
          <t>663 90 76 18</t>
        </is>
      </c>
      <c r="G67" t="inlineStr">
        <is>
          <t>Sí (móvil)</t>
        </is>
      </c>
      <c r="H67" s="3" t="inlineStr">
        <is>
          <t>https://wa.me/34663907618</t>
        </is>
      </c>
      <c r="I67" s="2" t="inlineStr">
        <is>
          <t>Hola! Soy Marcos, de Tarragona. He leído la web de Estética y Peluquería Lori Ari y he reescrito vuestro texto de presentación para que convenza más a quien la visita. ¿Os lo envío gratis para que lo veáis?</t>
        </is>
      </c>
      <c r="J67" t="inlineStr">
        <is>
          <t>Pendiente</t>
        </is>
      </c>
      <c r="K67" t="inlineStr"/>
    </row>
    <row r="68">
      <c r="A68" t="n">
        <v>67</v>
      </c>
      <c r="B68" t="inlineStr">
        <is>
          <t>Estética/Peluquería</t>
        </is>
      </c>
      <c r="C68" t="inlineStr">
        <is>
          <t>Vibe Centro de Estética</t>
        </is>
      </c>
      <c r="D68" t="inlineStr">
        <is>
          <t>Tarragona</t>
        </is>
      </c>
      <c r="E68" t="inlineStr">
        <is>
          <t>C/ Amposta, 39</t>
        </is>
      </c>
      <c r="F68" t="inlineStr">
        <is>
          <t>977 54 15 13</t>
        </is>
      </c>
      <c r="G68" t="inlineStr">
        <is>
          <t>No (fijo: llamar)</t>
        </is>
      </c>
      <c r="H68" t="inlineStr"/>
      <c r="I68" s="2" t="inlineStr">
        <is>
          <t>Hola! Soy Marcos, de Tarragona. He leído la web de Vibe Centro de Estética y he reescrito vuestro texto de presentación para que convenza más a quien la visita. ¿Os lo envío gratis para que lo veáis?</t>
        </is>
      </c>
      <c r="J68" t="inlineStr">
        <is>
          <t>Pendiente</t>
        </is>
      </c>
      <c r="K68" t="inlineStr"/>
    </row>
    <row r="69">
      <c r="A69" t="n">
        <v>68</v>
      </c>
      <c r="B69" t="inlineStr">
        <is>
          <t>Estética/Peluquería</t>
        </is>
      </c>
      <c r="C69" t="inlineStr">
        <is>
          <t>Alcántara Estilistes</t>
        </is>
      </c>
      <c r="D69" t="inlineStr">
        <is>
          <t>Tarragona</t>
        </is>
      </c>
      <c r="E69" t="inlineStr">
        <is>
          <t>C/ Adrià, 7</t>
        </is>
      </c>
      <c r="F69" t="inlineStr">
        <is>
          <t>679 338 643</t>
        </is>
      </c>
      <c r="G69" t="inlineStr">
        <is>
          <t>Sí (móvil)</t>
        </is>
      </c>
      <c r="H69" s="3" t="inlineStr">
        <is>
          <t>https://wa.me/34679338643</t>
        </is>
      </c>
      <c r="I69" s="2" t="inlineStr">
        <is>
          <t>Hola! Soy Marcos, de Tarragona. He leído la web de Alcántara Estilistes y he reescrito vuestro texto de presentación para que convenza más a quien la visita. ¿Os lo envío gratis para que lo veáis?</t>
        </is>
      </c>
      <c r="J69" t="inlineStr">
        <is>
          <t>Pendiente</t>
        </is>
      </c>
      <c r="K69" t="inlineStr"/>
    </row>
    <row r="70">
      <c r="A70" t="n">
        <v>69</v>
      </c>
      <c r="B70" t="inlineStr">
        <is>
          <t>Estética/Peluquería</t>
        </is>
      </c>
      <c r="C70" t="inlineStr">
        <is>
          <t>Centro de Estética Tonic</t>
        </is>
      </c>
      <c r="D70" t="inlineStr">
        <is>
          <t>Tarragona</t>
        </is>
      </c>
      <c r="E70" t="inlineStr">
        <is>
          <t>—</t>
        </is>
      </c>
      <c r="F70" t="inlineStr">
        <is>
          <t>977 21 19 50</t>
        </is>
      </c>
      <c r="G70" t="inlineStr">
        <is>
          <t>No (fijo: llamar)</t>
        </is>
      </c>
      <c r="H70" t="inlineStr"/>
      <c r="I70" s="2" t="inlineStr">
        <is>
          <t>Hola! Soy Marcos, de Tarragona. He leído la web de Centro de Estética Tonic y he reescrito vuestro texto de presentación para que convenza más a quien la visita. ¿Os lo envío gratis para que lo veáis?</t>
        </is>
      </c>
      <c r="J70" t="inlineStr">
        <is>
          <t>Pendiente</t>
        </is>
      </c>
      <c r="K70" t="inlineStr"/>
    </row>
    <row r="71">
      <c r="A71" t="n">
        <v>70</v>
      </c>
      <c r="B71" t="inlineStr">
        <is>
          <t>Entrenador/Gym</t>
        </is>
      </c>
      <c r="C71" t="inlineStr">
        <is>
          <t>Hawks Training</t>
        </is>
      </c>
      <c r="D71" t="inlineStr">
        <is>
          <t>Tarragona</t>
        </is>
      </c>
      <c r="E71" t="inlineStr">
        <is>
          <t>Av. Països Catalans, 28</t>
        </is>
      </c>
      <c r="F71" t="inlineStr">
        <is>
          <t>692 50 53 09</t>
        </is>
      </c>
      <c r="G71" t="inlineStr">
        <is>
          <t>Sí (móvil)</t>
        </is>
      </c>
      <c r="H71" s="3" t="inlineStr">
        <is>
          <t>https://wa.me/34692505309</t>
        </is>
      </c>
      <c r="I71" s="2" t="inlineStr">
        <is>
          <t>Hola! Soy Marcos, de Tarragona. He leído la web de Hawks Training y he reescrito vuestro texto de presentación para que convenza más a quien la visita. ¿Os lo envío gratis para que lo veáis?</t>
        </is>
      </c>
      <c r="J71" t="inlineStr">
        <is>
          <t>Pendiente</t>
        </is>
      </c>
      <c r="K71" t="inlineStr"/>
    </row>
    <row r="72">
      <c r="A72" t="n">
        <v>71</v>
      </c>
      <c r="B72" t="inlineStr">
        <is>
          <t>Entrenador/Gym</t>
        </is>
      </c>
      <c r="C72" t="inlineStr">
        <is>
          <t>Centro CEN Entrenador Personal</t>
        </is>
      </c>
      <c r="D72" t="inlineStr">
        <is>
          <t>Tarragona</t>
        </is>
      </c>
      <c r="E72" t="inlineStr">
        <is>
          <t>C/ Violant d'Hongria, 23</t>
        </is>
      </c>
      <c r="F72" t="inlineStr">
        <is>
          <t>628 28 27 68</t>
        </is>
      </c>
      <c r="G72" t="inlineStr">
        <is>
          <t>Sí (móvil)</t>
        </is>
      </c>
      <c r="H72" s="3" t="inlineStr">
        <is>
          <t>https://wa.me/34628282768</t>
        </is>
      </c>
      <c r="I72" s="2" t="inlineStr">
        <is>
          <t>Hola! Soy Marcos, de Tarragona. He leído la web de Centro CEN Entrenador Personal y he reescrito vuestro texto de presentación para que convenza más a quien la visita. ¿Os lo envío gratis para que lo veáis?</t>
        </is>
      </c>
      <c r="J72" t="inlineStr">
        <is>
          <t>Pendiente</t>
        </is>
      </c>
      <c r="K72" t="inlineStr"/>
    </row>
    <row r="73">
      <c r="A73" t="n">
        <v>72</v>
      </c>
      <c r="B73" t="inlineStr">
        <is>
          <t>Entrenador/Gym</t>
        </is>
      </c>
      <c r="C73" t="inlineStr">
        <is>
          <t>The Iron Path</t>
        </is>
      </c>
      <c r="D73" t="inlineStr">
        <is>
          <t>Tarragona</t>
        </is>
      </c>
      <c r="E73" t="inlineStr">
        <is>
          <t>C/ del Vidre, 11</t>
        </is>
      </c>
      <c r="F73" t="inlineStr">
        <is>
          <t>672 98 86 89</t>
        </is>
      </c>
      <c r="G73" t="inlineStr">
        <is>
          <t>Sí (móvil)</t>
        </is>
      </c>
      <c r="H73" s="3" t="inlineStr">
        <is>
          <t>https://wa.me/34672988689</t>
        </is>
      </c>
      <c r="I73" s="2" t="inlineStr">
        <is>
          <t>Hola! Soy Marcos, de Tarragona. He leído la web de The Iron Path y he reescrito vuestro texto de presentación para que convenza más a quien la visita. ¿Os lo envío gratis para que lo veáis?</t>
        </is>
      </c>
      <c r="J73" t="inlineStr">
        <is>
          <t>Pendiente</t>
        </is>
      </c>
      <c r="K73" t="inlineStr"/>
    </row>
    <row r="74">
      <c r="A74" t="n">
        <v>73</v>
      </c>
      <c r="B74" t="inlineStr">
        <is>
          <t>Entrenador/Gym</t>
        </is>
      </c>
      <c r="C74" t="inlineStr">
        <is>
          <t>TRIFIT Functional Center</t>
        </is>
      </c>
      <c r="D74" t="inlineStr">
        <is>
          <t>Tarragona</t>
        </is>
      </c>
      <c r="E74" t="inlineStr">
        <is>
          <t>C/ Ernest Vilches, 6</t>
        </is>
      </c>
      <c r="F74" t="inlineStr">
        <is>
          <t>640 67 57 61</t>
        </is>
      </c>
      <c r="G74" t="inlineStr">
        <is>
          <t>Sí (móvil)</t>
        </is>
      </c>
      <c r="H74" s="3" t="inlineStr">
        <is>
          <t>https://wa.me/34640675761</t>
        </is>
      </c>
      <c r="I74" s="2" t="inlineStr">
        <is>
          <t>Hola! Soy Marcos, de Tarragona. He leído la web de TRIFIT Functional Center y he reescrito vuestro texto de presentación para que convenza más a quien la visita. ¿Os lo envío gratis para que lo veáis?</t>
        </is>
      </c>
      <c r="J74" t="inlineStr">
        <is>
          <t>Pendiente</t>
        </is>
      </c>
      <c r="K74" t="inlineStr"/>
    </row>
    <row r="75">
      <c r="A75" t="n">
        <v>74</v>
      </c>
      <c r="B75" t="inlineStr">
        <is>
          <t>Entrenador/Gym</t>
        </is>
      </c>
      <c r="C75" t="inlineStr">
        <is>
          <t>Johana Silva Entrenamiento</t>
        </is>
      </c>
      <c r="D75" t="inlineStr">
        <is>
          <t>Tarragona</t>
        </is>
      </c>
      <c r="E75" t="inlineStr">
        <is>
          <t>C/ Cardenal Vidal i Barraquer, 34</t>
        </is>
      </c>
      <c r="F75" t="inlineStr">
        <is>
          <t>639 84 67 22</t>
        </is>
      </c>
      <c r="G75" t="inlineStr">
        <is>
          <t>Sí (móvil)</t>
        </is>
      </c>
      <c r="H75" s="3" t="inlineStr">
        <is>
          <t>https://wa.me/34639846722</t>
        </is>
      </c>
      <c r="I75" s="2" t="inlineStr">
        <is>
          <t>Hola! Soy Marcos, de Tarragona. He leído la web de Johana Silva Entrenamiento y he reescrito vuestro texto de presentación para que convenza más a quien la visita. ¿Os lo envío gratis para que lo veáis?</t>
        </is>
      </c>
      <c r="J75" t="inlineStr">
        <is>
          <t>Pendiente</t>
        </is>
      </c>
      <c r="K75" t="inlineStr"/>
    </row>
    <row r="76">
      <c r="A76" t="n">
        <v>75</v>
      </c>
      <c r="B76" t="inlineStr">
        <is>
          <t>Entrenador/Gym</t>
        </is>
      </c>
      <c r="C76" t="inlineStr">
        <is>
          <t>BioFit Funcional</t>
        </is>
      </c>
      <c r="D76" t="inlineStr">
        <is>
          <t>Tarragona</t>
        </is>
      </c>
      <c r="E76" t="inlineStr">
        <is>
          <t>Av. Prat de la Riba, 24, loc. 5</t>
        </is>
      </c>
      <c r="F76" t="inlineStr">
        <is>
          <t>640 85 52 17</t>
        </is>
      </c>
      <c r="G76" t="inlineStr">
        <is>
          <t>Sí (móvil)</t>
        </is>
      </c>
      <c r="H76" s="3" t="inlineStr">
        <is>
          <t>https://wa.me/34640855217</t>
        </is>
      </c>
      <c r="I76" s="2" t="inlineStr">
        <is>
          <t>Hola! Soy Marcos, de Tarragona. He leído la web de BioFit Funcional y he reescrito vuestro texto de presentación para que convenza más a quien la visita. ¿Os lo envío gratis para que lo veáis?</t>
        </is>
      </c>
      <c r="J76" t="inlineStr">
        <is>
          <t>Pendiente</t>
        </is>
      </c>
      <c r="K76" t="inlineStr"/>
    </row>
    <row r="77">
      <c r="A77" t="n">
        <v>76</v>
      </c>
      <c r="B77" t="inlineStr">
        <is>
          <t>Entrenador/Gym</t>
        </is>
      </c>
      <c r="C77" t="inlineStr">
        <is>
          <t>Bollodromo</t>
        </is>
      </c>
      <c r="D77" t="inlineStr">
        <is>
          <t>Tarragona</t>
        </is>
      </c>
      <c r="E77" t="inlineStr">
        <is>
          <t>C/ Granit, 16, Pol. Riu Clar</t>
        </is>
      </c>
      <c r="F77" t="inlineStr">
        <is>
          <t>655 69 86 31</t>
        </is>
      </c>
      <c r="G77" t="inlineStr">
        <is>
          <t>Sí (móvil)</t>
        </is>
      </c>
      <c r="H77" s="3" t="inlineStr">
        <is>
          <t>https://wa.me/34655698631</t>
        </is>
      </c>
      <c r="I77" s="2" t="inlineStr">
        <is>
          <t>Hola! Soy Marcos, de Tarragona. He leído la web de Bollodromo y he reescrito vuestro texto de presentación para que convenza más a quien la visita. ¿Os lo envío gratis para que lo veáis?</t>
        </is>
      </c>
      <c r="J77" t="inlineStr">
        <is>
          <t>Pendiente</t>
        </is>
      </c>
      <c r="K77" t="inlineStr"/>
    </row>
    <row r="78">
      <c r="A78" t="n">
        <v>77</v>
      </c>
      <c r="B78" t="inlineStr">
        <is>
          <t>Entrenador/Gym</t>
        </is>
      </c>
      <c r="C78" t="inlineStr">
        <is>
          <t>Damián Gómez Entrenador</t>
        </is>
      </c>
      <c r="D78" t="inlineStr">
        <is>
          <t>Tarragona</t>
        </is>
      </c>
      <c r="E78" t="inlineStr">
        <is>
          <t>—</t>
        </is>
      </c>
      <c r="F78" t="inlineStr">
        <is>
          <t>620 38 38 08</t>
        </is>
      </c>
      <c r="G78" t="inlineStr">
        <is>
          <t>Sí (móvil)</t>
        </is>
      </c>
      <c r="H78" s="3" t="inlineStr">
        <is>
          <t>https://wa.me/34620383808</t>
        </is>
      </c>
      <c r="I78" s="2" t="inlineStr">
        <is>
          <t>Hola! Soy Marcos, de Tarragona. He leído la web de Damián Gómez Entrenador y he reescrito vuestro texto de presentación para que convenza más a quien la visita. ¿Os lo envío gratis para que lo veáis?</t>
        </is>
      </c>
      <c r="J78" t="inlineStr">
        <is>
          <t>Pendiente</t>
        </is>
      </c>
      <c r="K78" t="inlineStr"/>
    </row>
    <row r="79">
      <c r="A79" t="n">
        <v>78</v>
      </c>
      <c r="B79" t="inlineStr">
        <is>
          <t>Entrenador/Gym</t>
        </is>
      </c>
      <c r="C79" t="inlineStr">
        <is>
          <t>Gerard Torres Entrenador</t>
        </is>
      </c>
      <c r="D79" t="inlineStr">
        <is>
          <t>Tarragona</t>
        </is>
      </c>
      <c r="E79" t="inlineStr">
        <is>
          <t>C/ Joan Baptista Plana, 15</t>
        </is>
      </c>
      <c r="F79" t="inlineStr">
        <is>
          <t>618 77 05 27</t>
        </is>
      </c>
      <c r="G79" t="inlineStr">
        <is>
          <t>Sí (móvil)</t>
        </is>
      </c>
      <c r="H79" s="3" t="inlineStr">
        <is>
          <t>https://wa.me/34618770527</t>
        </is>
      </c>
      <c r="I79" s="2" t="inlineStr">
        <is>
          <t>Hola! Soy Marcos, de Tarragona. He leído la web de Gerard Torres Entrenador y he reescrito vuestro texto de presentación para que convenza más a quien la visita. ¿Os lo envío gratis para que lo veáis?</t>
        </is>
      </c>
      <c r="J79" t="inlineStr">
        <is>
          <t>Pendiente</t>
        </is>
      </c>
      <c r="K79" t="inlineStr"/>
    </row>
    <row r="80">
      <c r="A80" t="n">
        <v>79</v>
      </c>
      <c r="B80" t="inlineStr">
        <is>
          <t>Entrenador/Gym</t>
        </is>
      </c>
      <c r="C80" t="inlineStr">
        <is>
          <t>M.C. Personal Trainer</t>
        </is>
      </c>
      <c r="D80" t="inlineStr">
        <is>
          <t>Salou</t>
        </is>
      </c>
      <c r="E80" t="inlineStr">
        <is>
          <t>—</t>
        </is>
      </c>
      <c r="F80" t="inlineStr">
        <is>
          <t>664 77 67 65</t>
        </is>
      </c>
      <c r="G80" t="inlineStr">
        <is>
          <t>Sí (móvil)</t>
        </is>
      </c>
      <c r="H80" s="3" t="inlineStr">
        <is>
          <t>https://wa.me/34664776765</t>
        </is>
      </c>
      <c r="I80" s="2" t="inlineStr">
        <is>
          <t>Hola! Soy Marcos, de Tarragona. He leído la web de M.C. Personal Trainer y he reescrito vuestro texto de presentación para que convenza más a quien la visita. ¿Os lo envío gratis para que lo veáis?</t>
        </is>
      </c>
      <c r="J80" t="inlineStr">
        <is>
          <t>Pendiente</t>
        </is>
      </c>
      <c r="K80" t="inlineStr"/>
    </row>
    <row r="81">
      <c r="A81" t="n">
        <v>80</v>
      </c>
      <c r="B81" t="inlineStr">
        <is>
          <t>Entrenador/Gym</t>
        </is>
      </c>
      <c r="C81" t="inlineStr">
        <is>
          <t>Mueve T Altafulla</t>
        </is>
      </c>
      <c r="D81" t="inlineStr">
        <is>
          <t>Altafulla</t>
        </is>
      </c>
      <c r="E81" t="inlineStr">
        <is>
          <t>—</t>
        </is>
      </c>
      <c r="F81" t="inlineStr">
        <is>
          <t>663 29 47 74</t>
        </is>
      </c>
      <c r="G81" t="inlineStr">
        <is>
          <t>Sí (móvil)</t>
        </is>
      </c>
      <c r="H81" s="3" t="inlineStr">
        <is>
          <t>https://wa.me/34663294774</t>
        </is>
      </c>
      <c r="I81" s="2" t="inlineStr">
        <is>
          <t>Hola! Soy Marcos, de Tarragona. He leído la web de Mueve T Altafulla y he reescrito vuestro texto de presentación para que convenza más a quien la visita. ¿Os lo envío gratis para que lo veáis?</t>
        </is>
      </c>
      <c r="J81" t="inlineStr">
        <is>
          <t>Pendiente</t>
        </is>
      </c>
      <c r="K81" t="inlineStr"/>
    </row>
    <row r="82">
      <c r="A82" t="n">
        <v>81</v>
      </c>
      <c r="B82" t="inlineStr">
        <is>
          <t>Entrenador/Gym</t>
        </is>
      </c>
      <c r="C82" t="inlineStr">
        <is>
          <t>Iván Tamarit Personal Trainer</t>
        </is>
      </c>
      <c r="D82" t="inlineStr">
        <is>
          <t>Tarragona</t>
        </is>
      </c>
      <c r="E82" t="inlineStr">
        <is>
          <t>—</t>
        </is>
      </c>
      <c r="F82" t="inlineStr">
        <is>
          <t>678 34 01 32</t>
        </is>
      </c>
      <c r="G82" t="inlineStr">
        <is>
          <t>Sí (móvil)</t>
        </is>
      </c>
      <c r="H82" s="3" t="inlineStr">
        <is>
          <t>https://wa.me/34678340132</t>
        </is>
      </c>
      <c r="I82" s="2" t="inlineStr">
        <is>
          <t>Hola! Soy Marcos, de Tarragona. He leído la web de Iván Tamarit Personal Trainer y he reescrito vuestro texto de presentación para que convenza más a quien la visita. ¿Os lo envío gratis para que lo veáis?</t>
        </is>
      </c>
      <c r="J82" t="inlineStr">
        <is>
          <t>Pendiente</t>
        </is>
      </c>
      <c r="K82" t="inlineStr"/>
    </row>
    <row r="83">
      <c r="A83" t="n">
        <v>82</v>
      </c>
      <c r="B83" t="inlineStr">
        <is>
          <t>Taller</t>
        </is>
      </c>
      <c r="C83" t="inlineStr">
        <is>
          <t>Velasco Motors</t>
        </is>
      </c>
      <c r="D83" t="inlineStr">
        <is>
          <t>Tarragona</t>
        </is>
      </c>
      <c r="E83" t="inlineStr">
        <is>
          <t>Pol. Riu Clar, C/ Estany, nave 7</t>
        </is>
      </c>
      <c r="F83" t="inlineStr">
        <is>
          <t>977 54 93 23</t>
        </is>
      </c>
      <c r="G83" t="inlineStr">
        <is>
          <t>No (fijo: llamar)</t>
        </is>
      </c>
      <c r="H83" t="inlineStr"/>
      <c r="I83" s="2" t="inlineStr">
        <is>
          <t>Hola! Soy Marcos, de Tarragona. He leído la web de Velasco Motors y he reescrito vuestro texto de presentación para que convenza más a quien la visita. ¿Os lo envío gratis para que lo veáis?</t>
        </is>
      </c>
      <c r="J83" t="inlineStr">
        <is>
          <t>Pendiente</t>
        </is>
      </c>
      <c r="K83" t="inlineStr"/>
    </row>
    <row r="84">
      <c r="A84" t="n">
        <v>83</v>
      </c>
      <c r="B84" t="inlineStr">
        <is>
          <t>Taller</t>
        </is>
      </c>
      <c r="C84" t="inlineStr">
        <is>
          <t>EuroTaller Jobacar</t>
        </is>
      </c>
      <c r="D84" t="inlineStr">
        <is>
          <t>Tarragona</t>
        </is>
      </c>
      <c r="E84" t="inlineStr">
        <is>
          <t>Ctra. Vella de València, km 248</t>
        </is>
      </c>
      <c r="F84" t="inlineStr">
        <is>
          <t>977 55 35 55</t>
        </is>
      </c>
      <c r="G84" t="inlineStr">
        <is>
          <t>No (fijo: llamar)</t>
        </is>
      </c>
      <c r="H84" t="inlineStr"/>
      <c r="I84" s="2" t="inlineStr">
        <is>
          <t>Hola! Soy Marcos, de Tarragona. He leído la web de EuroTaller Jobacar y he reescrito vuestro texto de presentación para que convenza más a quien la visita. ¿Os lo envío gratis para que lo veáis?</t>
        </is>
      </c>
      <c r="J84" t="inlineStr">
        <is>
          <t>Pendiente</t>
        </is>
      </c>
      <c r="K84" t="inlineStr"/>
    </row>
    <row r="85">
      <c r="A85" t="n">
        <v>84</v>
      </c>
      <c r="B85" t="inlineStr">
        <is>
          <t>Taller</t>
        </is>
      </c>
      <c r="C85" t="inlineStr">
        <is>
          <t>Tallers Ve-bor</t>
        </is>
      </c>
      <c r="D85" t="inlineStr">
        <is>
          <t>Tarragona</t>
        </is>
      </c>
      <c r="E85" t="inlineStr">
        <is>
          <t>C/ Baró de les Quatre Torres, 8</t>
        </is>
      </c>
      <c r="F85" t="inlineStr">
        <is>
          <t>977 21 83 83</t>
        </is>
      </c>
      <c r="G85" t="inlineStr">
        <is>
          <t>No (fijo: llamar)</t>
        </is>
      </c>
      <c r="H85" t="inlineStr"/>
      <c r="I85" s="2" t="inlineStr">
        <is>
          <t>Hola! Soy Marcos, de Tarragona. He leído la web de Tallers Ve-bor y he reescrito vuestro texto de presentación para que convenza más a quien la visita. ¿Os lo envío gratis para que lo veáis?</t>
        </is>
      </c>
      <c r="J85" t="inlineStr">
        <is>
          <t>Pendiente</t>
        </is>
      </c>
      <c r="K85" t="inlineStr"/>
    </row>
    <row r="86">
      <c r="A86" t="n">
        <v>85</v>
      </c>
      <c r="B86" t="inlineStr">
        <is>
          <t>Taller</t>
        </is>
      </c>
      <c r="C86" t="inlineStr">
        <is>
          <t>Tallers Vallverdú</t>
        </is>
      </c>
      <c r="D86" t="inlineStr">
        <is>
          <t>Tarragona</t>
        </is>
      </c>
      <c r="E86" t="inlineStr">
        <is>
          <t>C/ Reina Maria Cristina, 21bis</t>
        </is>
      </c>
      <c r="F86" t="inlineStr">
        <is>
          <t>977 23 44 30</t>
        </is>
      </c>
      <c r="G86" t="inlineStr">
        <is>
          <t>No (fijo: llamar)</t>
        </is>
      </c>
      <c r="H86" t="inlineStr"/>
      <c r="I86" s="2" t="inlineStr">
        <is>
          <t>Hola! Soy Marcos, de Tarragona. He leído la web de Tallers Vallverdú y he reescrito vuestro texto de presentación para que convenza más a quien la visita. ¿Os lo envío gratis para que lo veáis?</t>
        </is>
      </c>
      <c r="J86" t="inlineStr">
        <is>
          <t>Pendiente</t>
        </is>
      </c>
      <c r="K86" t="inlineStr"/>
    </row>
    <row r="87">
      <c r="A87" t="n">
        <v>86</v>
      </c>
      <c r="B87" t="inlineStr">
        <is>
          <t>Taller</t>
        </is>
      </c>
      <c r="C87" t="inlineStr">
        <is>
          <t>Tallers Amezcua</t>
        </is>
      </c>
      <c r="D87" t="inlineStr">
        <is>
          <t>Tarragona</t>
        </is>
      </c>
      <c r="E87" t="inlineStr">
        <is>
          <t>C/ Orosi, 8</t>
        </is>
      </c>
      <c r="F87" t="inlineStr">
        <is>
          <t>977 23 04 04</t>
        </is>
      </c>
      <c r="G87" t="inlineStr">
        <is>
          <t>No (fijo: llamar)</t>
        </is>
      </c>
      <c r="H87" t="inlineStr"/>
      <c r="I87" s="2" t="inlineStr">
        <is>
          <t>Hola! Soy Marcos, de Tarragona. He leído la web de Tallers Amezcua y he reescrito vuestro texto de presentación para que convenza más a quien la visita. ¿Os lo envío gratis para que lo veáis?</t>
        </is>
      </c>
      <c r="J87" t="inlineStr">
        <is>
          <t>Pendiente</t>
        </is>
      </c>
      <c r="K87" t="inlineStr"/>
    </row>
    <row r="88">
      <c r="A88" t="n">
        <v>87</v>
      </c>
      <c r="B88" t="inlineStr">
        <is>
          <t>Taller</t>
        </is>
      </c>
      <c r="C88" t="inlineStr">
        <is>
          <t>Tallers Grau</t>
        </is>
      </c>
      <c r="D88" t="inlineStr">
        <is>
          <t>Tarragona</t>
        </is>
      </c>
      <c r="E88" t="inlineStr">
        <is>
          <t>Via Augusta, 6</t>
        </is>
      </c>
      <c r="F88" t="inlineStr">
        <is>
          <t>977 23 27 23</t>
        </is>
      </c>
      <c r="G88" t="inlineStr">
        <is>
          <t>No (fijo: llamar)</t>
        </is>
      </c>
      <c r="H88" t="inlineStr"/>
      <c r="I88" s="2" t="inlineStr">
        <is>
          <t>Hola! Soy Marcos, de Tarragona. He leído la web de Tallers Grau y he reescrito vuestro texto de presentación para que convenza más a quien la visita. ¿Os lo envío gratis para que lo veáis?</t>
        </is>
      </c>
      <c r="J88" t="inlineStr">
        <is>
          <t>Pendiente</t>
        </is>
      </c>
      <c r="K88" t="inlineStr"/>
    </row>
    <row r="89">
      <c r="A89" t="n">
        <v>88</v>
      </c>
      <c r="B89" t="inlineStr">
        <is>
          <t>Taller</t>
        </is>
      </c>
      <c r="C89" t="inlineStr">
        <is>
          <t>Bosch Car Service Tallers GT</t>
        </is>
      </c>
      <c r="D89" t="inlineStr">
        <is>
          <t>Tarragona</t>
        </is>
      </c>
      <c r="E89" t="inlineStr">
        <is>
          <t>Pol. Ind. Francolí, 16</t>
        </is>
      </c>
      <c r="F89" t="inlineStr">
        <is>
          <t>977 54 91 07</t>
        </is>
      </c>
      <c r="G89" t="inlineStr">
        <is>
          <t>No (fijo: llamar)</t>
        </is>
      </c>
      <c r="H89" t="inlineStr"/>
      <c r="I89" s="2" t="inlineStr">
        <is>
          <t>Hola! Soy Marcos, de Tarragona. He leído la web de Bosch Car Service Tallers GT y he reescrito vuestro texto de presentación para que convenza más a quien la visita. ¿Os lo envío gratis para que lo veáis?</t>
        </is>
      </c>
      <c r="J89" t="inlineStr">
        <is>
          <t>Pendiente</t>
        </is>
      </c>
      <c r="K89" t="inlineStr"/>
    </row>
    <row r="90">
      <c r="A90" t="n">
        <v>89</v>
      </c>
      <c r="B90" t="inlineStr">
        <is>
          <t>Taller</t>
        </is>
      </c>
      <c r="C90" t="inlineStr">
        <is>
          <t>Mecànica i Planxa Alcover</t>
        </is>
      </c>
      <c r="D90" t="inlineStr">
        <is>
          <t>Alcover</t>
        </is>
      </c>
      <c r="E90" t="inlineStr">
        <is>
          <t>—</t>
        </is>
      </c>
      <c r="F90" t="inlineStr">
        <is>
          <t>626 785 184</t>
        </is>
      </c>
      <c r="G90" t="inlineStr">
        <is>
          <t>Sí (móvil)</t>
        </is>
      </c>
      <c r="H90" s="3" t="inlineStr">
        <is>
          <t>https://wa.me/34626785184</t>
        </is>
      </c>
      <c r="I90" s="2" t="inlineStr">
        <is>
          <t>Hola! Soy Marcos, de Tarragona. He leído la web de Mecànica i Planxa Alcover y he reescrito vuestro texto de presentación para que convenza más a quien la visita. ¿Os lo envío gratis para que lo veáis?</t>
        </is>
      </c>
      <c r="J90" t="inlineStr">
        <is>
          <t>Pendiente</t>
        </is>
      </c>
      <c r="K90" t="inlineStr"/>
    </row>
  </sheetData>
  <autoFilter ref="A1:K90"/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3" r:id="rId7"/>
    <hyperlink xmlns:r="http://schemas.openxmlformats.org/officeDocument/2006/relationships" ref="H18" r:id="rId8"/>
    <hyperlink xmlns:r="http://schemas.openxmlformats.org/officeDocument/2006/relationships" ref="H24" r:id="rId9"/>
    <hyperlink xmlns:r="http://schemas.openxmlformats.org/officeDocument/2006/relationships" ref="H38" r:id="rId10"/>
    <hyperlink xmlns:r="http://schemas.openxmlformats.org/officeDocument/2006/relationships" ref="H39" r:id="rId11"/>
    <hyperlink xmlns:r="http://schemas.openxmlformats.org/officeDocument/2006/relationships" ref="H40" r:id="rId12"/>
    <hyperlink xmlns:r="http://schemas.openxmlformats.org/officeDocument/2006/relationships" ref="H41" r:id="rId13"/>
    <hyperlink xmlns:r="http://schemas.openxmlformats.org/officeDocument/2006/relationships" ref="H42" r:id="rId14"/>
    <hyperlink xmlns:r="http://schemas.openxmlformats.org/officeDocument/2006/relationships" ref="H43" r:id="rId15"/>
    <hyperlink xmlns:r="http://schemas.openxmlformats.org/officeDocument/2006/relationships" ref="H44" r:id="rId16"/>
    <hyperlink xmlns:r="http://schemas.openxmlformats.org/officeDocument/2006/relationships" ref="H45" r:id="rId17"/>
    <hyperlink xmlns:r="http://schemas.openxmlformats.org/officeDocument/2006/relationships" ref="H46" r:id="rId18"/>
    <hyperlink xmlns:r="http://schemas.openxmlformats.org/officeDocument/2006/relationships" ref="H47" r:id="rId19"/>
    <hyperlink xmlns:r="http://schemas.openxmlformats.org/officeDocument/2006/relationships" ref="H49" r:id="rId20"/>
    <hyperlink xmlns:r="http://schemas.openxmlformats.org/officeDocument/2006/relationships" ref="H50" r:id="rId21"/>
    <hyperlink xmlns:r="http://schemas.openxmlformats.org/officeDocument/2006/relationships" ref="H52" r:id="rId22"/>
    <hyperlink xmlns:r="http://schemas.openxmlformats.org/officeDocument/2006/relationships" ref="H53" r:id="rId23"/>
    <hyperlink xmlns:r="http://schemas.openxmlformats.org/officeDocument/2006/relationships" ref="H54" r:id="rId24"/>
    <hyperlink xmlns:r="http://schemas.openxmlformats.org/officeDocument/2006/relationships" ref="H55" r:id="rId25"/>
    <hyperlink xmlns:r="http://schemas.openxmlformats.org/officeDocument/2006/relationships" ref="H63" r:id="rId26"/>
    <hyperlink xmlns:r="http://schemas.openxmlformats.org/officeDocument/2006/relationships" ref="H66" r:id="rId27"/>
    <hyperlink xmlns:r="http://schemas.openxmlformats.org/officeDocument/2006/relationships" ref="H67" r:id="rId28"/>
    <hyperlink xmlns:r="http://schemas.openxmlformats.org/officeDocument/2006/relationships" ref="H69" r:id="rId29"/>
    <hyperlink xmlns:r="http://schemas.openxmlformats.org/officeDocument/2006/relationships" ref="H71" r:id="rId30"/>
    <hyperlink xmlns:r="http://schemas.openxmlformats.org/officeDocument/2006/relationships" ref="H72" r:id="rId31"/>
    <hyperlink xmlns:r="http://schemas.openxmlformats.org/officeDocument/2006/relationships" ref="H73" r:id="rId32"/>
    <hyperlink xmlns:r="http://schemas.openxmlformats.org/officeDocument/2006/relationships" ref="H74" r:id="rId33"/>
    <hyperlink xmlns:r="http://schemas.openxmlformats.org/officeDocument/2006/relationships" ref="H75" r:id="rId34"/>
    <hyperlink xmlns:r="http://schemas.openxmlformats.org/officeDocument/2006/relationships" ref="H76" r:id="rId35"/>
    <hyperlink xmlns:r="http://schemas.openxmlformats.org/officeDocument/2006/relationships" ref="H77" r:id="rId36"/>
    <hyperlink xmlns:r="http://schemas.openxmlformats.org/officeDocument/2006/relationships" ref="H78" r:id="rId37"/>
    <hyperlink xmlns:r="http://schemas.openxmlformats.org/officeDocument/2006/relationships" ref="H79" r:id="rId38"/>
    <hyperlink xmlns:r="http://schemas.openxmlformats.org/officeDocument/2006/relationships" ref="H80" r:id="rId39"/>
    <hyperlink xmlns:r="http://schemas.openxmlformats.org/officeDocument/2006/relationships" ref="H81" r:id="rId40"/>
    <hyperlink xmlns:r="http://schemas.openxmlformats.org/officeDocument/2006/relationships" ref="H82" r:id="rId41"/>
    <hyperlink xmlns:r="http://schemas.openxmlformats.org/officeDocument/2006/relationships" ref="H90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Sector</t>
        </is>
      </c>
      <c r="B1" s="4" t="inlineStr">
        <is>
          <t>Nº leads</t>
        </is>
      </c>
      <c r="C1" s="4" t="inlineStr">
        <is>
          <t>Con WhatsApp</t>
        </is>
      </c>
    </row>
    <row r="2">
      <c r="A2" t="inlineStr">
        <is>
          <t>Abogados</t>
        </is>
      </c>
      <c r="B2">
        <f>COUNTIF(Leads!B:B,"Abogados")</f>
        <v/>
      </c>
      <c r="C2">
        <f>COUNTIFS(Leads!B:B,"Abogados",Leads!G:G,"Sí*")</f>
        <v/>
      </c>
    </row>
    <row r="3">
      <c r="A3" t="inlineStr">
        <is>
          <t>Academia</t>
        </is>
      </c>
      <c r="B3">
        <f>COUNTIF(Leads!B:B,"Academia")</f>
        <v/>
      </c>
      <c r="C3">
        <f>COUNTIFS(Leads!B:B,"Academia",Leads!G:G,"Sí*")</f>
        <v/>
      </c>
    </row>
    <row r="4">
      <c r="A4" t="inlineStr">
        <is>
          <t>Autoescuela</t>
        </is>
      </c>
      <c r="B4">
        <f>COUNTIF(Leads!B:B,"Autoescuela")</f>
        <v/>
      </c>
      <c r="C4">
        <f>COUNTIFS(Leads!B:B,"Autoescuela",Leads!G:G,"Sí*")</f>
        <v/>
      </c>
    </row>
    <row r="5">
      <c r="A5" t="inlineStr">
        <is>
          <t>Dentista</t>
        </is>
      </c>
      <c r="B5">
        <f>COUNTIF(Leads!B:B,"Dentista")</f>
        <v/>
      </c>
      <c r="C5">
        <f>COUNTIFS(Leads!B:B,"Dentista",Leads!G:G,"Sí*")</f>
        <v/>
      </c>
    </row>
    <row r="6">
      <c r="A6" t="inlineStr">
        <is>
          <t>Entrenador/Gym</t>
        </is>
      </c>
      <c r="B6">
        <f>COUNTIF(Leads!B:B,"Entrenador/Gym")</f>
        <v/>
      </c>
      <c r="C6">
        <f>COUNTIFS(Leads!B:B,"Entrenador/Gym",Leads!G:G,"Sí*")</f>
        <v/>
      </c>
    </row>
    <row r="7">
      <c r="A7" t="inlineStr">
        <is>
          <t>Estética/Peluquería</t>
        </is>
      </c>
      <c r="B7">
        <f>COUNTIF(Leads!B:B,"Estética/Peluquería")</f>
        <v/>
      </c>
      <c r="C7">
        <f>COUNTIFS(Leads!B:B,"Estética/Peluquería",Leads!G:G,"Sí*")</f>
        <v/>
      </c>
    </row>
    <row r="8">
      <c r="A8" t="inlineStr">
        <is>
          <t>Fisioterapia</t>
        </is>
      </c>
      <c r="B8">
        <f>COUNTIF(Leads!B:B,"Fisioterapia")</f>
        <v/>
      </c>
      <c r="C8">
        <f>COUNTIFS(Leads!B:B,"Fisioterapia",Leads!G:G,"Sí*")</f>
        <v/>
      </c>
    </row>
    <row r="9">
      <c r="A9" t="inlineStr">
        <is>
          <t>Gestoría</t>
        </is>
      </c>
      <c r="B9">
        <f>COUNTIF(Leads!B:B,"Gestoría")</f>
        <v/>
      </c>
      <c r="C9">
        <f>COUNTIFS(Leads!B:B,"Gestoría",Leads!G:G,"Sí*")</f>
        <v/>
      </c>
    </row>
    <row r="10">
      <c r="A10" t="inlineStr">
        <is>
          <t>Inmobiliaria</t>
        </is>
      </c>
      <c r="B10">
        <f>COUNTIF(Leads!B:B,"Inmobiliaria")</f>
        <v/>
      </c>
      <c r="C10">
        <f>COUNTIFS(Leads!B:B,"Inmobiliaria",Leads!G:G,"Sí*")</f>
        <v/>
      </c>
    </row>
    <row r="11">
      <c r="A11" t="inlineStr">
        <is>
          <t>Psicología</t>
        </is>
      </c>
      <c r="B11">
        <f>COUNTIF(Leads!B:B,"Psicología")</f>
        <v/>
      </c>
      <c r="C11">
        <f>COUNTIFS(Leads!B:B,"Psicología",Leads!G:G,"Sí*")</f>
        <v/>
      </c>
    </row>
    <row r="12">
      <c r="A12" t="inlineStr">
        <is>
          <t>Taller</t>
        </is>
      </c>
      <c r="B12">
        <f>COUNTIF(Leads!B:B,"Taller")</f>
        <v/>
      </c>
      <c r="C12">
        <f>COUNTIFS(Leads!B:B,"Taller",Leads!G:G,"Sí*")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2026-10-22T18:36:01Z</dcterms:created>
  <dcterms:modified xmlns:dcterms="http://purl.org/dc/terms/" xmlns:xsi="http://www.w3.org/2001/XMLSchema-instance" xsi:type="dcterms:W3CDTF">2026-10-22T18:36:01Z</dcterms:modified>
</cp:coreProperties>
</file>