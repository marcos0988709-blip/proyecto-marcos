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ómo usar" sheetId="1" state="visible" r:id="rId3"/>
    <sheet name="Nichos" sheetId="2" state="visible" r:id="rId4"/>
    <sheet name="Búsquedas Maps" sheetId="3" state="visible" r:id="rId5"/>
    <sheet name="Prospectos" sheetId="4" state="visible" r:id="rId6"/>
    <sheet name="Embudo" sheetId="5" state="visible" r:id="rId7"/>
  </sheets>
  <definedNames>
    <definedName function="false" hidden="true" localSheetId="3" name="_xlnm._FilterDatabase" vbProcedure="false">Prospectos!$A$1:$T$151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Se calcula sola. Ver pestaña 'Cómo usar'.</t>
        </r>
      </text>
    </comment>
  </commentList>
</comments>
</file>

<file path=xl/sharedStrings.xml><?xml version="1.0" encoding="utf-8"?>
<sst xmlns="http://schemas.openxmlformats.org/spreadsheetml/2006/main" count="195" uniqueCount="101">
  <si>
    <t xml:space="preserve">CRM de prospección · @marcos.digitalbarrio · Tarragona</t>
  </si>
  <si>
    <t xml:space="preserve">1. Ve a la pestaña 'Búsquedas Maps' y pulsa un enlace (nicho + zona). Se abre Google Maps con los negocios.</t>
  </si>
  <si>
    <t xml:space="preserve">2. Abre la ficha de cada negocio y busca fallos: reseñas sin responder, pocas fotos, horario raro, Instagram parado.</t>
  </si>
  <si>
    <t xml:space="preserve">3. Apúntalo en 'Prospectos'. Rellena SOLO las celdas amarillas. Puntuación y Prioridad se calculan solas.</t>
  </si>
  <si>
    <t xml:space="preserve">4. Visita o escribe primero a los de prioridad ALTA (más fallos = más fácil venderles).</t>
  </si>
  <si>
    <t xml:space="preserve">5. Actualiza la columna Estado tras cada contacto. La pestaña 'Embudo' te da tus números automáticamente.</t>
  </si>
  <si>
    <t xml:space="preserve">Cómo se calcula la puntuación (0–10)</t>
  </si>
  <si>
    <t xml:space="preserve">Reseñas sin responder = 3 · Menos de 10 fotos = 2 · Horario sin revisar/erróneo = 2 · Instagram inactivo o sin cuenta = 2 · 50+ reseñas (negocio con clientela que puede pagar) = 1</t>
  </si>
  <si>
    <t xml:space="preserve">ALTA ≥ 6 · MEDIA 3–5 · BAJA &lt; 3</t>
  </si>
  <si>
    <t xml:space="preserve">Objetivo semanal: 20 negocios apuntados · 10 contactados · 1–2 clientes.</t>
  </si>
  <si>
    <t xml:space="preserve">La fila 'EJEMPLO' es inventada: sirve para ver el formato. Bórrala cuando apuntes tu primer negocio real.</t>
  </si>
  <si>
    <t xml:space="preserve">Nichos de Tarragona por prioridad (estimación propia, ajústala con tu experiencia)</t>
  </si>
  <si>
    <t xml:space="preserve">Prioridad</t>
  </si>
  <si>
    <t xml:space="preserve">Nicho</t>
  </si>
  <si>
    <t xml:space="preserve">Por qué encaja</t>
  </si>
  <si>
    <t xml:space="preserve">Dependencia de Google/Instagram</t>
  </si>
  <si>
    <t xml:space="preserve">Facilidad para venderles</t>
  </si>
  <si>
    <t xml:space="preserve">Cuota mensual realista (€)</t>
  </si>
  <si>
    <t xml:space="preserve">Bares, cafeterías y restaurantes</t>
  </si>
  <si>
    <t xml:space="preserve">Muchísimos en la ciudad, viven de turistas y de reseñas</t>
  </si>
  <si>
    <t xml:space="preserve">Muy alta</t>
  </si>
  <si>
    <t xml:space="preserve">Alta</t>
  </si>
  <si>
    <t xml:space="preserve">60–90</t>
  </si>
  <si>
    <t xml:space="preserve">Peluquerías y barberías</t>
  </si>
  <si>
    <t xml:space="preserve">Clientela fija; Instagram es su escaparate de cortes</t>
  </si>
  <si>
    <t xml:space="preserve">Centros de estética y uñas</t>
  </si>
  <si>
    <t xml:space="preserve">Venden por fotos; suelen tener el Instagram poco cuidado</t>
  </si>
  <si>
    <t xml:space="preserve">Media-alta</t>
  </si>
  <si>
    <t xml:space="preserve">Talleres mecánicos</t>
  </si>
  <si>
    <t xml:space="preserve">Se eligen por reseñas; casi ninguno las responde</t>
  </si>
  <si>
    <t xml:space="preserve">40–60</t>
  </si>
  <si>
    <t xml:space="preserve">Gimnasios y centros de entreno pequeños</t>
  </si>
  <si>
    <t xml:space="preserve">Compiten con las cadenas; necesitan diferenciarse</t>
  </si>
  <si>
    <t xml:space="preserve">Media</t>
  </si>
  <si>
    <t xml:space="preserve">Tiendas de barrio (ropa, regalos)</t>
  </si>
  <si>
    <t xml:space="preserve">Dependen de que los encuentren</t>
  </si>
  <si>
    <t xml:space="preserve">Fisioterapia y clínicas pequeñas</t>
  </si>
  <si>
    <t xml:space="preserve">Las reseñas generan confianza; buen ticket</t>
  </si>
  <si>
    <t xml:space="preserve">Panaderías y pastelerías</t>
  </si>
  <si>
    <t xml:space="preserve">Producto muy fotogénico, perfecto para Instagram</t>
  </si>
  <si>
    <t xml:space="preserve">Pulsa un enlace: abre Google Maps con ese tipo de negocio en esa zona</t>
  </si>
  <si>
    <t xml:space="preserve">Centre Rambla Nova</t>
  </si>
  <si>
    <t xml:space="preserve">Part Alta</t>
  </si>
  <si>
    <t xml:space="preserve">El Serrallo</t>
  </si>
  <si>
    <t xml:space="preserve">Sant Pere i Sant Pau</t>
  </si>
  <si>
    <t xml:space="preserve">Torreforta</t>
  </si>
  <si>
    <t xml:space="preserve">Bonavista</t>
  </si>
  <si>
    <t xml:space="preserve">Sant Salvador</t>
  </si>
  <si>
    <t xml:space="preserve">bar</t>
  </si>
  <si>
    <t xml:space="preserve">Abrir Maps</t>
  </si>
  <si>
    <t xml:space="preserve">cafetería</t>
  </si>
  <si>
    <t xml:space="preserve">restaurante</t>
  </si>
  <si>
    <t xml:space="preserve">peluquería</t>
  </si>
  <si>
    <t xml:space="preserve">barbería</t>
  </si>
  <si>
    <t xml:space="preserve">centro de estética</t>
  </si>
  <si>
    <t xml:space="preserve">taller mecánico</t>
  </si>
  <si>
    <t xml:space="preserve">gimnasio</t>
  </si>
  <si>
    <t xml:space="preserve">fisioterapia</t>
  </si>
  <si>
    <t xml:space="preserve">panadería</t>
  </si>
  <si>
    <t xml:space="preserve">Negocio</t>
  </si>
  <si>
    <t xml:space="preserve">Tipo</t>
  </si>
  <si>
    <t xml:space="preserve">Zona</t>
  </si>
  <si>
    <t xml:space="preserve">Dirección</t>
  </si>
  <si>
    <t xml:space="preserve">Teléfono</t>
  </si>
  <si>
    <t xml:space="preserve">Instagram</t>
  </si>
  <si>
    <t xml:space="preserve">Link ficha Maps</t>
  </si>
  <si>
    <t xml:space="preserve">Nº reseñas</t>
  </si>
  <si>
    <t xml:space="preserve">Nota Google</t>
  </si>
  <si>
    <t xml:space="preserve">Reseñas sin responder</t>
  </si>
  <si>
    <t xml:space="preserve">Menos de 10 fotos</t>
  </si>
  <si>
    <t xml:space="preserve">Horario mal/sin revisar</t>
  </si>
  <si>
    <t xml:space="preserve">Instagram inactivo</t>
  </si>
  <si>
    <t xml:space="preserve">Puntuación</t>
  </si>
  <si>
    <t xml:space="preserve">Estado</t>
  </si>
  <si>
    <t xml:space="preserve">Fecha contacto</t>
  </si>
  <si>
    <t xml:space="preserve">Próximo paso</t>
  </si>
  <si>
    <t xml:space="preserve">Importe cobrado (€)</t>
  </si>
  <si>
    <t xml:space="preserve">Notas</t>
  </si>
  <si>
    <t xml:space="preserve">EJEMPLO – Bar La Plaça (inventado)</t>
  </si>
  <si>
    <t xml:space="preserve">Bar</t>
  </si>
  <si>
    <t xml:space="preserve">Pl. Exemple 1</t>
  </si>
  <si>
    <t xml:space="preserve">600000000</t>
  </si>
  <si>
    <t xml:space="preserve">@exemple</t>
  </si>
  <si>
    <t xml:space="preserve">(pega el enlace)</t>
  </si>
  <si>
    <t xml:space="preserve">Sí</t>
  </si>
  <si>
    <t xml:space="preserve">No</t>
  </si>
  <si>
    <t xml:space="preserve">Contactado</t>
  </si>
  <si>
    <t xml:space="preserve">Volver el jueves 11:00</t>
  </si>
  <si>
    <t xml:space="preserve">Al dueño le interesa, quiere ver ejemplos</t>
  </si>
  <si>
    <t xml:space="preserve">Tu embudo de ventas (se actualiza solo)</t>
  </si>
  <si>
    <t xml:space="preserve">Nº negocios</t>
  </si>
  <si>
    <t xml:space="preserve">% sobre apuntados</t>
  </si>
  <si>
    <t xml:space="preserve">Apuntados (total)</t>
  </si>
  <si>
    <t xml:space="preserve">Pendiente</t>
  </si>
  <si>
    <t xml:space="preserve">Interesado</t>
  </si>
  <si>
    <t xml:space="preserve">Cliente</t>
  </si>
  <si>
    <t xml:space="preserve">No interesado</t>
  </si>
  <si>
    <t xml:space="preserve">Tasa de cierre (clientes / contactados+)</t>
  </si>
  <si>
    <t xml:space="preserve">Facturado total (€)</t>
  </si>
  <si>
    <t xml:space="preserve">Prioridad ALTA pendientes de contactar</t>
  </si>
  <si>
    <t xml:space="preserve">Nota: la fila EJEMPLO cuenta en estos números hasta que la borres.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</si>
</sst>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dd/mm/yyyy"/>
    <numFmt numFmtId="168" formatCode="#,##0&quot; €&quot;;\-#,##0&quot; €&quot;;\-"/>
    <numFmt numFmtId="169" formatCode="0.0%;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3163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  <font>
      <b val="true"/>
      <sz val="12"/>
      <color rgb="FF03163B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3163B"/>
        <bgColor rgb="FF000000"/>
      </patternFill>
    </fill>
    <fill>
      <patternFill patternType="solid">
        <fgColor rgb="FFFFF6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3163B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7F7F"/>
      </font>
      <fill>
        <patternFill>
          <bgColor rgb="FFF2F2F2"/>
        </patternFill>
      </fill>
    </dxf>
    <dxf>
      <font>
        <name val="Arial"/>
        <charset val="1"/>
        <family val="0"/>
        <b val="1"/>
      </font>
      <fill>
        <patternFill>
          <bgColor rgb="FFFFC9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D6"/>
      <rgbColor rgb="FFF2F2F2"/>
      <rgbColor rgb="FF660066"/>
      <rgbColor rgb="FFFF8080"/>
      <rgbColor rgb="FF0563C1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93C"/>
      <rgbColor rgb="FFFF9900"/>
      <rgbColor rgb="FFFF6600"/>
      <rgbColor rgb="FF666699"/>
      <rgbColor rgb="FF969696"/>
      <rgbColor rgb="FF03163B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bar+Centre+Rambla+Nova+Tarragona" TargetMode="External"/><Relationship Id="rId2" Type="http://schemas.openxmlformats.org/officeDocument/2006/relationships/hyperlink" Target="https://www.google.com/maps/search/bar+Part+Alta+Tarragona" TargetMode="External"/><Relationship Id="rId3" Type="http://schemas.openxmlformats.org/officeDocument/2006/relationships/hyperlink" Target="https://www.google.com/maps/search/bar+El+Serrallo+Tarragona" TargetMode="External"/><Relationship Id="rId4" Type="http://schemas.openxmlformats.org/officeDocument/2006/relationships/hyperlink" Target="https://www.google.com/maps/search/bar+Sant+Pere+i+Sant+Pau+Tarragona" TargetMode="External"/><Relationship Id="rId5" Type="http://schemas.openxmlformats.org/officeDocument/2006/relationships/hyperlink" Target="https://www.google.com/maps/search/bar+Torreforta+Tarragona" TargetMode="External"/><Relationship Id="rId6" Type="http://schemas.openxmlformats.org/officeDocument/2006/relationships/hyperlink" Target="https://www.google.com/maps/search/bar+Bonavista+Tarragona" TargetMode="External"/><Relationship Id="rId7" Type="http://schemas.openxmlformats.org/officeDocument/2006/relationships/hyperlink" Target="https://www.google.com/maps/search/bar+Sant+Salvador+Tarragona" TargetMode="External"/><Relationship Id="rId8" Type="http://schemas.openxmlformats.org/officeDocument/2006/relationships/hyperlink" Target="https://www.google.com/maps/search/cafeter&#237;a+Centre+Rambla+Nova+Tarragona" TargetMode="External"/><Relationship Id="rId9" Type="http://schemas.openxmlformats.org/officeDocument/2006/relationships/hyperlink" Target="https://www.google.com/maps/search/cafeter&#237;a+Part+Alta+Tarragona" TargetMode="External"/><Relationship Id="rId10" Type="http://schemas.openxmlformats.org/officeDocument/2006/relationships/hyperlink" Target="https://www.google.com/maps/search/cafeter&#237;a+El+Serrallo+Tarragona" TargetMode="External"/><Relationship Id="rId11" Type="http://schemas.openxmlformats.org/officeDocument/2006/relationships/hyperlink" Target="https://www.google.com/maps/search/cafeter&#237;a+Sant+Pere+i+Sant+Pau+Tarragona" TargetMode="External"/><Relationship Id="rId12" Type="http://schemas.openxmlformats.org/officeDocument/2006/relationships/hyperlink" Target="https://www.google.com/maps/search/cafeter&#237;a+Torreforta+Tarragona" TargetMode="External"/><Relationship Id="rId13" Type="http://schemas.openxmlformats.org/officeDocument/2006/relationships/hyperlink" Target="https://www.google.com/maps/search/cafeter&#237;a+Bonavista+Tarragona" TargetMode="External"/><Relationship Id="rId14" Type="http://schemas.openxmlformats.org/officeDocument/2006/relationships/hyperlink" Target="https://www.google.com/maps/search/cafeter&#237;a+Sant+Salvador+Tarragona" TargetMode="External"/><Relationship Id="rId15" Type="http://schemas.openxmlformats.org/officeDocument/2006/relationships/hyperlink" Target="https://www.google.com/maps/search/restaurante+Centre+Rambla+Nova+Tarragona" TargetMode="External"/><Relationship Id="rId16" Type="http://schemas.openxmlformats.org/officeDocument/2006/relationships/hyperlink" Target="https://www.google.com/maps/search/restaurante+Part+Alta+Tarragona" TargetMode="External"/><Relationship Id="rId17" Type="http://schemas.openxmlformats.org/officeDocument/2006/relationships/hyperlink" Target="https://www.google.com/maps/search/restaurante+El+Serrallo+Tarragona" TargetMode="External"/><Relationship Id="rId18" Type="http://schemas.openxmlformats.org/officeDocument/2006/relationships/hyperlink" Target="https://www.google.com/maps/search/restaurante+Sant+Pere+i+Sant+Pau+Tarragona" TargetMode="External"/><Relationship Id="rId19" Type="http://schemas.openxmlformats.org/officeDocument/2006/relationships/hyperlink" Target="https://www.google.com/maps/search/restaurante+Torreforta+Tarragona" TargetMode="External"/><Relationship Id="rId20" Type="http://schemas.openxmlformats.org/officeDocument/2006/relationships/hyperlink" Target="https://www.google.com/maps/search/restaurante+Bonavista+Tarragona" TargetMode="External"/><Relationship Id="rId21" Type="http://schemas.openxmlformats.org/officeDocument/2006/relationships/hyperlink" Target="https://www.google.com/maps/search/restaurante+Sant+Salvador+Tarragona" TargetMode="External"/><Relationship Id="rId22" Type="http://schemas.openxmlformats.org/officeDocument/2006/relationships/hyperlink" Target="https://www.google.com/maps/search/peluquer&#237;a+Centre+Rambla+Nova+Tarragona" TargetMode="External"/><Relationship Id="rId23" Type="http://schemas.openxmlformats.org/officeDocument/2006/relationships/hyperlink" Target="https://www.google.com/maps/search/peluquer&#237;a+Part+Alta+Tarragona" TargetMode="External"/><Relationship Id="rId24" Type="http://schemas.openxmlformats.org/officeDocument/2006/relationships/hyperlink" Target="https://www.google.com/maps/search/peluquer&#237;a+El+Serrallo+Tarragona" TargetMode="External"/><Relationship Id="rId25" Type="http://schemas.openxmlformats.org/officeDocument/2006/relationships/hyperlink" Target="https://www.google.com/maps/search/peluquer&#237;a+Sant+Pere+i+Sant+Pau+Tarragona" TargetMode="External"/><Relationship Id="rId26" Type="http://schemas.openxmlformats.org/officeDocument/2006/relationships/hyperlink" Target="https://www.google.com/maps/search/peluquer&#237;a+Torreforta+Tarragona" TargetMode="External"/><Relationship Id="rId27" Type="http://schemas.openxmlformats.org/officeDocument/2006/relationships/hyperlink" Target="https://www.google.com/maps/search/peluquer&#237;a+Bonavista+Tarragona" TargetMode="External"/><Relationship Id="rId28" Type="http://schemas.openxmlformats.org/officeDocument/2006/relationships/hyperlink" Target="https://www.google.com/maps/search/peluquer&#237;a+Sant+Salvador+Tarragona" TargetMode="External"/><Relationship Id="rId29" Type="http://schemas.openxmlformats.org/officeDocument/2006/relationships/hyperlink" Target="https://www.google.com/maps/search/barber&#237;a+Centre+Rambla+Nova+Tarragona" TargetMode="External"/><Relationship Id="rId30" Type="http://schemas.openxmlformats.org/officeDocument/2006/relationships/hyperlink" Target="https://www.google.com/maps/search/barber&#237;a+Part+Alta+Tarragona" TargetMode="External"/><Relationship Id="rId31" Type="http://schemas.openxmlformats.org/officeDocument/2006/relationships/hyperlink" Target="https://www.google.com/maps/search/barber&#237;a+El+Serrallo+Tarragona" TargetMode="External"/><Relationship Id="rId32" Type="http://schemas.openxmlformats.org/officeDocument/2006/relationships/hyperlink" Target="https://www.google.com/maps/search/barber&#237;a+Sant+Pere+i+Sant+Pau+Tarragona" TargetMode="External"/><Relationship Id="rId33" Type="http://schemas.openxmlformats.org/officeDocument/2006/relationships/hyperlink" Target="https://www.google.com/maps/search/barber&#237;a+Torreforta+Tarragona" TargetMode="External"/><Relationship Id="rId34" Type="http://schemas.openxmlformats.org/officeDocument/2006/relationships/hyperlink" Target="https://www.google.com/maps/search/barber&#237;a+Bonavista+Tarragona" TargetMode="External"/><Relationship Id="rId35" Type="http://schemas.openxmlformats.org/officeDocument/2006/relationships/hyperlink" Target="https://www.google.com/maps/search/barber&#237;a+Sant+Salvador+Tarragona" TargetMode="External"/><Relationship Id="rId36" Type="http://schemas.openxmlformats.org/officeDocument/2006/relationships/hyperlink" Target="https://www.google.com/maps/search/centro+de+est&#233;tica+Centre+Rambla+Nova+Tarragona" TargetMode="External"/><Relationship Id="rId37" Type="http://schemas.openxmlformats.org/officeDocument/2006/relationships/hyperlink" Target="https://www.google.com/maps/search/centro+de+est&#233;tica+Part+Alta+Tarragona" TargetMode="External"/><Relationship Id="rId38" Type="http://schemas.openxmlformats.org/officeDocument/2006/relationships/hyperlink" Target="https://www.google.com/maps/search/centro+de+est&#233;tica+El+Serrallo+Tarragona" TargetMode="External"/><Relationship Id="rId39" Type="http://schemas.openxmlformats.org/officeDocument/2006/relationships/hyperlink" Target="https://www.google.com/maps/search/centro+de+est&#233;tica+Sant+Pere+i+Sant+Pau+Tarragona" TargetMode="External"/><Relationship Id="rId40" Type="http://schemas.openxmlformats.org/officeDocument/2006/relationships/hyperlink" Target="https://www.google.com/maps/search/centro+de+est&#233;tica+Torreforta+Tarragona" TargetMode="External"/><Relationship Id="rId41" Type="http://schemas.openxmlformats.org/officeDocument/2006/relationships/hyperlink" Target="https://www.google.com/maps/search/centro+de+est&#233;tica+Bonavista+Tarragona" TargetMode="External"/><Relationship Id="rId42" Type="http://schemas.openxmlformats.org/officeDocument/2006/relationships/hyperlink" Target="https://www.google.com/maps/search/centro+de+est&#233;tica+Sant+Salvador+Tarragona" TargetMode="External"/><Relationship Id="rId43" Type="http://schemas.openxmlformats.org/officeDocument/2006/relationships/hyperlink" Target="https://www.google.com/maps/search/taller+mec&#225;nico+Centre+Rambla+Nova+Tarragona" TargetMode="External"/><Relationship Id="rId44" Type="http://schemas.openxmlformats.org/officeDocument/2006/relationships/hyperlink" Target="https://www.google.com/maps/search/taller+mec&#225;nico+Part+Alta+Tarragona" TargetMode="External"/><Relationship Id="rId45" Type="http://schemas.openxmlformats.org/officeDocument/2006/relationships/hyperlink" Target="https://www.google.com/maps/search/taller+mec&#225;nico+El+Serrallo+Tarragona" TargetMode="External"/><Relationship Id="rId46" Type="http://schemas.openxmlformats.org/officeDocument/2006/relationships/hyperlink" Target="https://www.google.com/maps/search/taller+mec&#225;nico+Sant+Pere+i+Sant+Pau+Tarragona" TargetMode="External"/><Relationship Id="rId47" Type="http://schemas.openxmlformats.org/officeDocument/2006/relationships/hyperlink" Target="https://www.google.com/maps/search/taller+mec&#225;nico+Torreforta+Tarragona" TargetMode="External"/><Relationship Id="rId48" Type="http://schemas.openxmlformats.org/officeDocument/2006/relationships/hyperlink" Target="https://www.google.com/maps/search/taller+mec&#225;nico+Bonavista+Tarragona" TargetMode="External"/><Relationship Id="rId49" Type="http://schemas.openxmlformats.org/officeDocument/2006/relationships/hyperlink" Target="https://www.google.com/maps/search/taller+mec&#225;nico+Sant+Salvador+Tarragona" TargetMode="External"/><Relationship Id="rId50" Type="http://schemas.openxmlformats.org/officeDocument/2006/relationships/hyperlink" Target="https://www.google.com/maps/search/gimnasio+Centre+Rambla+Nova+Tarragona" TargetMode="External"/><Relationship Id="rId51" Type="http://schemas.openxmlformats.org/officeDocument/2006/relationships/hyperlink" Target="https://www.google.com/maps/search/gimnasio+Part+Alta+Tarragona" TargetMode="External"/><Relationship Id="rId52" Type="http://schemas.openxmlformats.org/officeDocument/2006/relationships/hyperlink" Target="https://www.google.com/maps/search/gimnasio+El+Serrallo+Tarragona" TargetMode="External"/><Relationship Id="rId53" Type="http://schemas.openxmlformats.org/officeDocument/2006/relationships/hyperlink" Target="https://www.google.com/maps/search/gimnasio+Sant+Pere+i+Sant+Pau+Tarragona" TargetMode="External"/><Relationship Id="rId54" Type="http://schemas.openxmlformats.org/officeDocument/2006/relationships/hyperlink" Target="https://www.google.com/maps/search/gimnasio+Torreforta+Tarragona" TargetMode="External"/><Relationship Id="rId55" Type="http://schemas.openxmlformats.org/officeDocument/2006/relationships/hyperlink" Target="https://www.google.com/maps/search/gimnasio+Bonavista+Tarragona" TargetMode="External"/><Relationship Id="rId56" Type="http://schemas.openxmlformats.org/officeDocument/2006/relationships/hyperlink" Target="https://www.google.com/maps/search/gimnasio+Sant+Salvador+Tarragona" TargetMode="External"/><Relationship Id="rId57" Type="http://schemas.openxmlformats.org/officeDocument/2006/relationships/hyperlink" Target="https://www.google.com/maps/search/fisioterapia+Centre+Rambla+Nova+Tarragona" TargetMode="External"/><Relationship Id="rId58" Type="http://schemas.openxmlformats.org/officeDocument/2006/relationships/hyperlink" Target="https://www.google.com/maps/search/fisioterapia+Part+Alta+Tarragona" TargetMode="External"/><Relationship Id="rId59" Type="http://schemas.openxmlformats.org/officeDocument/2006/relationships/hyperlink" Target="https://www.google.com/maps/search/fisioterapia+El+Serrallo+Tarragona" TargetMode="External"/><Relationship Id="rId60" Type="http://schemas.openxmlformats.org/officeDocument/2006/relationships/hyperlink" Target="https://www.google.com/maps/search/fisioterapia+Sant+Pere+i+Sant+Pau+Tarragona" TargetMode="External"/><Relationship Id="rId61" Type="http://schemas.openxmlformats.org/officeDocument/2006/relationships/hyperlink" Target="https://www.google.com/maps/search/fisioterapia+Torreforta+Tarragona" TargetMode="External"/><Relationship Id="rId62" Type="http://schemas.openxmlformats.org/officeDocument/2006/relationships/hyperlink" Target="https://www.google.com/maps/search/fisioterapia+Bonavista+Tarragona" TargetMode="External"/><Relationship Id="rId63" Type="http://schemas.openxmlformats.org/officeDocument/2006/relationships/hyperlink" Target="https://www.google.com/maps/search/fisioterapia+Sant+Salvador+Tarragona" TargetMode="External"/><Relationship Id="rId64" Type="http://schemas.openxmlformats.org/officeDocument/2006/relationships/hyperlink" Target="https://www.google.com/maps/search/panader&#237;a+Centre+Rambla+Nova+Tarragona" TargetMode="External"/><Relationship Id="rId65" Type="http://schemas.openxmlformats.org/officeDocument/2006/relationships/hyperlink" Target="https://www.google.com/maps/search/panader&#237;a+Part+Alta+Tarragona" TargetMode="External"/><Relationship Id="rId66" Type="http://schemas.openxmlformats.org/officeDocument/2006/relationships/hyperlink" Target="https://www.google.com/maps/search/panader&#237;a+El+Serrallo+Tarragona" TargetMode="External"/><Relationship Id="rId67" Type="http://schemas.openxmlformats.org/officeDocument/2006/relationships/hyperlink" Target="https://www.google.com/maps/search/panader&#237;a+Sant+Pere+i+Sant+Pau+Tarragona" TargetMode="External"/><Relationship Id="rId68" Type="http://schemas.openxmlformats.org/officeDocument/2006/relationships/hyperlink" Target="https://www.google.com/maps/search/panader&#237;a+Torreforta+Tarragona" TargetMode="External"/><Relationship Id="rId69" Type="http://schemas.openxmlformats.org/officeDocument/2006/relationships/hyperlink" Target="https://www.google.com/maps/search/panader&#237;a+Bonavista+Tarragona" TargetMode="External"/><Relationship Id="rId70" Type="http://schemas.openxmlformats.org/officeDocument/2006/relationships/hyperlink" Target="https://www.google.com/maps/search/panader&#237;a+Sant+Salvador+Tarragona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9.7" hidden="false" customHeight="false" outlineLevel="0" collapsed="false">
      <c r="A1" s="4" t="s">
        <v>11</v>
      </c>
    </row>
    <row r="3" customFormat="false" ht="26.8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customFormat="false" ht="15" hidden="false" customHeight="false" outlineLevel="0" collapsed="false">
      <c r="A4" s="6" t="n">
        <v>1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</row>
    <row r="5" customFormat="false" ht="15" hidden="false" customHeight="false" outlineLevel="0" collapsed="false">
      <c r="A5" s="6" t="n">
        <v>2</v>
      </c>
      <c r="B5" s="6" t="s">
        <v>23</v>
      </c>
      <c r="C5" s="6" t="s">
        <v>24</v>
      </c>
      <c r="D5" s="6" t="s">
        <v>20</v>
      </c>
      <c r="E5" s="6" t="s">
        <v>21</v>
      </c>
      <c r="F5" s="6" t="s">
        <v>22</v>
      </c>
    </row>
    <row r="6" customFormat="false" ht="15" hidden="false" customHeight="false" outlineLevel="0" collapsed="false">
      <c r="A6" s="6" t="n">
        <v>3</v>
      </c>
      <c r="B6" s="6" t="s">
        <v>25</v>
      </c>
      <c r="C6" s="6" t="s">
        <v>26</v>
      </c>
      <c r="D6" s="6" t="s">
        <v>20</v>
      </c>
      <c r="E6" s="6" t="s">
        <v>27</v>
      </c>
      <c r="F6" s="6" t="s">
        <v>22</v>
      </c>
    </row>
    <row r="7" customFormat="false" ht="15" hidden="false" customHeight="false" outlineLevel="0" collapsed="false">
      <c r="A7" s="6" t="n">
        <v>4</v>
      </c>
      <c r="B7" s="6" t="s">
        <v>28</v>
      </c>
      <c r="C7" s="6" t="s">
        <v>29</v>
      </c>
      <c r="D7" s="6" t="s">
        <v>21</v>
      </c>
      <c r="E7" s="6" t="s">
        <v>21</v>
      </c>
      <c r="F7" s="6" t="s">
        <v>30</v>
      </c>
    </row>
    <row r="8" customFormat="false" ht="23.85" hidden="false" customHeight="false" outlineLevel="0" collapsed="false">
      <c r="A8" s="6" t="n">
        <v>5</v>
      </c>
      <c r="B8" s="6" t="s">
        <v>31</v>
      </c>
      <c r="C8" s="6" t="s">
        <v>32</v>
      </c>
      <c r="D8" s="6" t="s">
        <v>21</v>
      </c>
      <c r="E8" s="6" t="s">
        <v>33</v>
      </c>
      <c r="F8" s="6" t="s">
        <v>22</v>
      </c>
    </row>
    <row r="9" customFormat="false" ht="15" hidden="false" customHeight="false" outlineLevel="0" collapsed="false">
      <c r="A9" s="6" t="n">
        <v>6</v>
      </c>
      <c r="B9" s="6" t="s">
        <v>34</v>
      </c>
      <c r="C9" s="6" t="s">
        <v>35</v>
      </c>
      <c r="D9" s="6" t="s">
        <v>33</v>
      </c>
      <c r="E9" s="6" t="s">
        <v>33</v>
      </c>
      <c r="F9" s="6" t="s">
        <v>30</v>
      </c>
    </row>
    <row r="10" customFormat="false" ht="15" hidden="false" customHeight="false" outlineLevel="0" collapsed="false">
      <c r="A10" s="6" t="n">
        <v>7</v>
      </c>
      <c r="B10" s="6" t="s">
        <v>36</v>
      </c>
      <c r="C10" s="6" t="s">
        <v>37</v>
      </c>
      <c r="D10" s="6" t="s">
        <v>21</v>
      </c>
      <c r="E10" s="6" t="s">
        <v>33</v>
      </c>
      <c r="F10" s="6" t="s">
        <v>22</v>
      </c>
    </row>
    <row r="11" customFormat="false" ht="15" hidden="false" customHeight="false" outlineLevel="0" collapsed="false">
      <c r="A11" s="6" t="n">
        <v>8</v>
      </c>
      <c r="B11" s="6" t="s">
        <v>38</v>
      </c>
      <c r="C11" s="6" t="s">
        <v>39</v>
      </c>
      <c r="D11" s="6" t="s">
        <v>33</v>
      </c>
      <c r="E11" s="6" t="s">
        <v>21</v>
      </c>
      <c r="F11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9"/>
  </cols>
  <sheetData>
    <row r="1" customFormat="false" ht="19.7" hidden="false" customHeight="false" outlineLevel="0" collapsed="false">
      <c r="A1" s="4" t="s">
        <v>40</v>
      </c>
    </row>
    <row r="3" customFormat="false" ht="26.85" hidden="false" customHeight="false" outlineLevel="0" collapsed="false">
      <c r="A3" s="5" t="s">
        <v>13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15" hidden="false" customHeight="false" outlineLevel="0" collapsed="false">
      <c r="A4" s="7" t="s">
        <v>48</v>
      </c>
      <c r="B4" s="8" t="s">
        <v>49</v>
      </c>
      <c r="C4" s="8" t="s">
        <v>49</v>
      </c>
      <c r="D4" s="8" t="s">
        <v>49</v>
      </c>
      <c r="E4" s="8" t="s">
        <v>49</v>
      </c>
      <c r="F4" s="8" t="s">
        <v>49</v>
      </c>
      <c r="G4" s="8" t="s">
        <v>49</v>
      </c>
      <c r="H4" s="8" t="s">
        <v>49</v>
      </c>
    </row>
    <row r="5" customFormat="false" ht="15" hidden="false" customHeight="false" outlineLevel="0" collapsed="false">
      <c r="A5" s="7" t="s">
        <v>50</v>
      </c>
      <c r="B5" s="8" t="s">
        <v>49</v>
      </c>
      <c r="C5" s="8" t="s">
        <v>49</v>
      </c>
      <c r="D5" s="8" t="s">
        <v>49</v>
      </c>
      <c r="E5" s="8" t="s">
        <v>49</v>
      </c>
      <c r="F5" s="8" t="s">
        <v>49</v>
      </c>
      <c r="G5" s="8" t="s">
        <v>49</v>
      </c>
      <c r="H5" s="8" t="s">
        <v>49</v>
      </c>
    </row>
    <row r="6" customFormat="false" ht="15" hidden="false" customHeight="false" outlineLevel="0" collapsed="false">
      <c r="A6" s="7" t="s">
        <v>51</v>
      </c>
      <c r="B6" s="8" t="s">
        <v>49</v>
      </c>
      <c r="C6" s="8" t="s">
        <v>49</v>
      </c>
      <c r="D6" s="8" t="s">
        <v>49</v>
      </c>
      <c r="E6" s="8" t="s">
        <v>49</v>
      </c>
      <c r="F6" s="8" t="s">
        <v>49</v>
      </c>
      <c r="G6" s="8" t="s">
        <v>49</v>
      </c>
      <c r="H6" s="8" t="s">
        <v>49</v>
      </c>
    </row>
    <row r="7" customFormat="false" ht="15" hidden="false" customHeight="false" outlineLevel="0" collapsed="false">
      <c r="A7" s="7" t="s">
        <v>52</v>
      </c>
      <c r="B7" s="8" t="s">
        <v>49</v>
      </c>
      <c r="C7" s="8" t="s">
        <v>49</v>
      </c>
      <c r="D7" s="8" t="s">
        <v>49</v>
      </c>
      <c r="E7" s="8" t="s">
        <v>49</v>
      </c>
      <c r="F7" s="8" t="s">
        <v>49</v>
      </c>
      <c r="G7" s="8" t="s">
        <v>49</v>
      </c>
      <c r="H7" s="8" t="s">
        <v>49</v>
      </c>
    </row>
    <row r="8" customFormat="false" ht="15" hidden="false" customHeight="false" outlineLevel="0" collapsed="false">
      <c r="A8" s="7" t="s">
        <v>53</v>
      </c>
      <c r="B8" s="8" t="s">
        <v>49</v>
      </c>
      <c r="C8" s="8" t="s">
        <v>49</v>
      </c>
      <c r="D8" s="8" t="s">
        <v>49</v>
      </c>
      <c r="E8" s="8" t="s">
        <v>49</v>
      </c>
      <c r="F8" s="8" t="s">
        <v>49</v>
      </c>
      <c r="G8" s="8" t="s">
        <v>49</v>
      </c>
      <c r="H8" s="8" t="s">
        <v>49</v>
      </c>
    </row>
    <row r="9" customFormat="false" ht="15" hidden="false" customHeight="false" outlineLevel="0" collapsed="false">
      <c r="A9" s="7" t="s">
        <v>54</v>
      </c>
      <c r="B9" s="8" t="s">
        <v>49</v>
      </c>
      <c r="C9" s="8" t="s">
        <v>49</v>
      </c>
      <c r="D9" s="8" t="s">
        <v>49</v>
      </c>
      <c r="E9" s="8" t="s">
        <v>49</v>
      </c>
      <c r="F9" s="8" t="s">
        <v>49</v>
      </c>
      <c r="G9" s="8" t="s">
        <v>49</v>
      </c>
      <c r="H9" s="8" t="s">
        <v>49</v>
      </c>
    </row>
    <row r="10" customFormat="false" ht="15" hidden="false" customHeight="false" outlineLevel="0" collapsed="false">
      <c r="A10" s="7" t="s">
        <v>55</v>
      </c>
      <c r="B10" s="8" t="s">
        <v>49</v>
      </c>
      <c r="C10" s="8" t="s">
        <v>49</v>
      </c>
      <c r="D10" s="8" t="s">
        <v>49</v>
      </c>
      <c r="E10" s="8" t="s">
        <v>49</v>
      </c>
      <c r="F10" s="8" t="s">
        <v>49</v>
      </c>
      <c r="G10" s="8" t="s">
        <v>49</v>
      </c>
      <c r="H10" s="8" t="s">
        <v>49</v>
      </c>
    </row>
    <row r="11" customFormat="false" ht="15" hidden="false" customHeight="false" outlineLevel="0" collapsed="false">
      <c r="A11" s="7" t="s">
        <v>56</v>
      </c>
      <c r="B11" s="8" t="s">
        <v>49</v>
      </c>
      <c r="C11" s="8" t="s">
        <v>49</v>
      </c>
      <c r="D11" s="8" t="s">
        <v>49</v>
      </c>
      <c r="E11" s="8" t="s">
        <v>49</v>
      </c>
      <c r="F11" s="8" t="s">
        <v>49</v>
      </c>
      <c r="G11" s="8" t="s">
        <v>49</v>
      </c>
      <c r="H11" s="8" t="s">
        <v>49</v>
      </c>
    </row>
    <row r="12" customFormat="false" ht="15" hidden="false" customHeight="false" outlineLevel="0" collapsed="false">
      <c r="A12" s="7" t="s">
        <v>57</v>
      </c>
      <c r="B12" s="8" t="s">
        <v>49</v>
      </c>
      <c r="C12" s="8" t="s">
        <v>49</v>
      </c>
      <c r="D12" s="8" t="s">
        <v>49</v>
      </c>
      <c r="E12" s="8" t="s">
        <v>49</v>
      </c>
      <c r="F12" s="8" t="s">
        <v>49</v>
      </c>
      <c r="G12" s="8" t="s">
        <v>49</v>
      </c>
      <c r="H12" s="8" t="s">
        <v>49</v>
      </c>
    </row>
    <row r="13" customFormat="false" ht="15" hidden="false" customHeight="false" outlineLevel="0" collapsed="false">
      <c r="A13" s="7" t="s">
        <v>58</v>
      </c>
      <c r="B13" s="8" t="s">
        <v>49</v>
      </c>
      <c r="C13" s="8" t="s">
        <v>49</v>
      </c>
      <c r="D13" s="8" t="s">
        <v>49</v>
      </c>
      <c r="E13" s="8" t="s">
        <v>49</v>
      </c>
      <c r="F13" s="8" t="s">
        <v>49</v>
      </c>
      <c r="G13" s="8" t="s">
        <v>49</v>
      </c>
      <c r="H13" s="8" t="s">
        <v>49</v>
      </c>
    </row>
  </sheetData>
  <hyperlinks>
    <hyperlink ref="B4" r:id="rId1" display="Abrir Maps"/>
    <hyperlink ref="C4" r:id="rId2" display="Abrir Maps"/>
    <hyperlink ref="D4" r:id="rId3" display="Abrir Maps"/>
    <hyperlink ref="E4" r:id="rId4" display="Abrir Maps"/>
    <hyperlink ref="F4" r:id="rId5" display="Abrir Maps"/>
    <hyperlink ref="G4" r:id="rId6" display="Abrir Maps"/>
    <hyperlink ref="H4" r:id="rId7" display="Abrir Maps"/>
    <hyperlink ref="B5" r:id="rId8" display="Abrir Maps"/>
    <hyperlink ref="C5" r:id="rId9" display="Abrir Maps"/>
    <hyperlink ref="D5" r:id="rId10" display="Abrir Maps"/>
    <hyperlink ref="E5" r:id="rId11" display="Abrir Maps"/>
    <hyperlink ref="F5" r:id="rId12" display="Abrir Maps"/>
    <hyperlink ref="G5" r:id="rId13" display="Abrir Maps"/>
    <hyperlink ref="H5" r:id="rId14" display="Abrir Maps"/>
    <hyperlink ref="B6" r:id="rId15" display="Abrir Maps"/>
    <hyperlink ref="C6" r:id="rId16" display="Abrir Maps"/>
    <hyperlink ref="D6" r:id="rId17" display="Abrir Maps"/>
    <hyperlink ref="E6" r:id="rId18" display="Abrir Maps"/>
    <hyperlink ref="F6" r:id="rId19" display="Abrir Maps"/>
    <hyperlink ref="G6" r:id="rId20" display="Abrir Maps"/>
    <hyperlink ref="H6" r:id="rId21" display="Abrir Maps"/>
    <hyperlink ref="B7" r:id="rId22" display="Abrir Maps"/>
    <hyperlink ref="C7" r:id="rId23" display="Abrir Maps"/>
    <hyperlink ref="D7" r:id="rId24" display="Abrir Maps"/>
    <hyperlink ref="E7" r:id="rId25" display="Abrir Maps"/>
    <hyperlink ref="F7" r:id="rId26" display="Abrir Maps"/>
    <hyperlink ref="G7" r:id="rId27" display="Abrir Maps"/>
    <hyperlink ref="H7" r:id="rId28" display="Abrir Maps"/>
    <hyperlink ref="B8" r:id="rId29" display="Abrir Maps"/>
    <hyperlink ref="C8" r:id="rId30" display="Abrir Maps"/>
    <hyperlink ref="D8" r:id="rId31" display="Abrir Maps"/>
    <hyperlink ref="E8" r:id="rId32" display="Abrir Maps"/>
    <hyperlink ref="F8" r:id="rId33" display="Abrir Maps"/>
    <hyperlink ref="G8" r:id="rId34" display="Abrir Maps"/>
    <hyperlink ref="H8" r:id="rId35" display="Abrir Maps"/>
    <hyperlink ref="B9" r:id="rId36" display="Abrir Maps"/>
    <hyperlink ref="C9" r:id="rId37" display="Abrir Maps"/>
    <hyperlink ref="D9" r:id="rId38" display="Abrir Maps"/>
    <hyperlink ref="E9" r:id="rId39" display="Abrir Maps"/>
    <hyperlink ref="F9" r:id="rId40" display="Abrir Maps"/>
    <hyperlink ref="G9" r:id="rId41" display="Abrir Maps"/>
    <hyperlink ref="H9" r:id="rId42" display="Abrir Maps"/>
    <hyperlink ref="B10" r:id="rId43" display="Abrir Maps"/>
    <hyperlink ref="C10" r:id="rId44" display="Abrir Maps"/>
    <hyperlink ref="D10" r:id="rId45" display="Abrir Maps"/>
    <hyperlink ref="E10" r:id="rId46" display="Abrir Maps"/>
    <hyperlink ref="F10" r:id="rId47" display="Abrir Maps"/>
    <hyperlink ref="G10" r:id="rId48" display="Abrir Maps"/>
    <hyperlink ref="H10" r:id="rId49" display="Abrir Maps"/>
    <hyperlink ref="B11" r:id="rId50" display="Abrir Maps"/>
    <hyperlink ref="C11" r:id="rId51" display="Abrir Maps"/>
    <hyperlink ref="D11" r:id="rId52" display="Abrir Maps"/>
    <hyperlink ref="E11" r:id="rId53" display="Abrir Maps"/>
    <hyperlink ref="F11" r:id="rId54" display="Abrir Maps"/>
    <hyperlink ref="G11" r:id="rId55" display="Abrir Maps"/>
    <hyperlink ref="H11" r:id="rId56" display="Abrir Maps"/>
    <hyperlink ref="B12" r:id="rId57" display="Abrir Maps"/>
    <hyperlink ref="C12" r:id="rId58" display="Abrir Maps"/>
    <hyperlink ref="D12" r:id="rId59" display="Abrir Maps"/>
    <hyperlink ref="E12" r:id="rId60" display="Abrir Maps"/>
    <hyperlink ref="F12" r:id="rId61" display="Abrir Maps"/>
    <hyperlink ref="G12" r:id="rId62" display="Abrir Maps"/>
    <hyperlink ref="H12" r:id="rId63" display="Abrir Maps"/>
    <hyperlink ref="B13" r:id="rId64" display="Abrir Maps"/>
    <hyperlink ref="C13" r:id="rId65" display="Abrir Maps"/>
    <hyperlink ref="D13" r:id="rId66" display="Abrir Maps"/>
    <hyperlink ref="E13" r:id="rId67" display="Abrir Maps"/>
    <hyperlink ref="F13" r:id="rId68" display="Abrir Maps"/>
    <hyperlink ref="G13" r:id="rId69" display="Abrir Maps"/>
    <hyperlink ref="H13" r:id="rId70" display="Abrir M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24"/>
    <col collapsed="false" customWidth="true" hidden="false" outlineLevel="0" max="19" min="19" style="0" width="13"/>
    <col collapsed="false" customWidth="true" hidden="false" outlineLevel="0" max="20" min="20" style="0" width="30"/>
  </cols>
  <sheetData>
    <row r="1" customFormat="false" ht="36" hidden="false" customHeight="true" outlineLevel="0" collapsed="false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12</v>
      </c>
      <c r="P1" s="5" t="s">
        <v>73</v>
      </c>
      <c r="Q1" s="5" t="s">
        <v>74</v>
      </c>
      <c r="R1" s="5" t="s">
        <v>75</v>
      </c>
      <c r="S1" s="5" t="s">
        <v>76</v>
      </c>
      <c r="T1" s="5" t="s">
        <v>77</v>
      </c>
    </row>
    <row r="2" customFormat="false" ht="15" hidden="false" customHeight="false" outlineLevel="0" collapsed="false">
      <c r="A2" s="9" t="s">
        <v>78</v>
      </c>
      <c r="B2" s="9" t="s">
        <v>79</v>
      </c>
      <c r="C2" s="9" t="s">
        <v>42</v>
      </c>
      <c r="D2" s="9" t="s">
        <v>80</v>
      </c>
      <c r="E2" s="9" t="s">
        <v>81</v>
      </c>
      <c r="F2" s="9" t="s">
        <v>82</v>
      </c>
      <c r="G2" s="9" t="s">
        <v>83</v>
      </c>
      <c r="H2" s="9" t="n">
        <v>87</v>
      </c>
      <c r="I2" s="10" t="n">
        <v>4.2</v>
      </c>
      <c r="J2" s="9" t="s">
        <v>84</v>
      </c>
      <c r="K2" s="9" t="s">
        <v>84</v>
      </c>
      <c r="L2" s="9" t="s">
        <v>85</v>
      </c>
      <c r="M2" s="9" t="s">
        <v>84</v>
      </c>
      <c r="N2" s="11" t="n">
        <f aca="false">IF(A2="","",(J2="Sí")*3+(K2="Sí")*2+(L2="Sí")*2+(M2="Sí")*2+(N(H2)&gt;=50)*1)</f>
        <v>8</v>
      </c>
      <c r="O2" s="12" t="str">
        <f aca="false">IF(N2="","",IF(N2&gt;=6,"ALTA",IF(N2&gt;=3,"MEDIA","BAJA")))</f>
        <v>ALTA</v>
      </c>
      <c r="P2" s="9" t="s">
        <v>86</v>
      </c>
      <c r="Q2" s="13" t="n">
        <v>46329</v>
      </c>
      <c r="R2" s="9" t="s">
        <v>87</v>
      </c>
      <c r="S2" s="14" t="n">
        <v>0</v>
      </c>
      <c r="T2" s="9" t="s">
        <v>88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10"/>
      <c r="J3" s="9"/>
      <c r="K3" s="9"/>
      <c r="L3" s="9"/>
      <c r="M3" s="9"/>
      <c r="N3" s="15" t="str">
        <f aca="false">IF(A3="","",(J3="Sí")*3+(K3="Sí")*2+(L3="Sí")*2+(M3="Sí")*2+(N(H3)&gt;=50)*1)</f>
        <v/>
      </c>
      <c r="O3" s="15" t="str">
        <f aca="false">IF(N3="","",IF(N3&gt;=6,"ALTA",IF(N3&gt;=3,"MEDIA","BAJA")))</f>
        <v/>
      </c>
      <c r="P3" s="9"/>
      <c r="Q3" s="13"/>
      <c r="R3" s="9"/>
      <c r="S3" s="14"/>
      <c r="T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10"/>
      <c r="J4" s="9"/>
      <c r="K4" s="9"/>
      <c r="L4" s="9"/>
      <c r="M4" s="9"/>
      <c r="N4" s="15" t="str">
        <f aca="false">IF(A4="","",(J4="Sí")*3+(K4="Sí")*2+(L4="Sí")*2+(M4="Sí")*2+(N(H4)&gt;=50)*1)</f>
        <v/>
      </c>
      <c r="O4" s="15" t="str">
        <f aca="false">IF(N4="","",IF(N4&gt;=6,"ALTA",IF(N4&gt;=3,"MEDIA","BAJA")))</f>
        <v/>
      </c>
      <c r="P4" s="9"/>
      <c r="Q4" s="13"/>
      <c r="R4" s="9"/>
      <c r="S4" s="14"/>
      <c r="T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10"/>
      <c r="J5" s="9"/>
      <c r="K5" s="9"/>
      <c r="L5" s="9"/>
      <c r="M5" s="9"/>
      <c r="N5" s="15" t="str">
        <f aca="false">IF(A5="","",(J5="Sí")*3+(K5="Sí")*2+(L5="Sí")*2+(M5="Sí")*2+(N(H5)&gt;=50)*1)</f>
        <v/>
      </c>
      <c r="O5" s="15" t="str">
        <f aca="false">IF(N5="","",IF(N5&gt;=6,"ALTA",IF(N5&gt;=3,"MEDIA","BAJA")))</f>
        <v/>
      </c>
      <c r="P5" s="9"/>
      <c r="Q5" s="13"/>
      <c r="R5" s="9"/>
      <c r="S5" s="14"/>
      <c r="T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10"/>
      <c r="J6" s="9"/>
      <c r="K6" s="9"/>
      <c r="L6" s="9"/>
      <c r="M6" s="9"/>
      <c r="N6" s="15" t="str">
        <f aca="false">IF(A6="","",(J6="Sí")*3+(K6="Sí")*2+(L6="Sí")*2+(M6="Sí")*2+(N(H6)&gt;=50)*1)</f>
        <v/>
      </c>
      <c r="O6" s="15" t="str">
        <f aca="false">IF(N6="","",IF(N6&gt;=6,"ALTA",IF(N6&gt;=3,"MEDIA","BAJA")))</f>
        <v/>
      </c>
      <c r="P6" s="9"/>
      <c r="Q6" s="13"/>
      <c r="R6" s="9"/>
      <c r="S6" s="14"/>
      <c r="T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10"/>
      <c r="J7" s="9"/>
      <c r="K7" s="9"/>
      <c r="L7" s="9"/>
      <c r="M7" s="9"/>
      <c r="N7" s="15" t="str">
        <f aca="false">IF(A7="","",(J7="Sí")*3+(K7="Sí")*2+(L7="Sí")*2+(M7="Sí")*2+(N(H7)&gt;=50)*1)</f>
        <v/>
      </c>
      <c r="O7" s="15" t="str">
        <f aca="false">IF(N7="","",IF(N7&gt;=6,"ALTA",IF(N7&gt;=3,"MEDIA","BAJA")))</f>
        <v/>
      </c>
      <c r="P7" s="9"/>
      <c r="Q7" s="13"/>
      <c r="R7" s="9"/>
      <c r="S7" s="14"/>
      <c r="T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10"/>
      <c r="J8" s="9"/>
      <c r="K8" s="9"/>
      <c r="L8" s="9"/>
      <c r="M8" s="9"/>
      <c r="N8" s="15" t="str">
        <f aca="false">IF(A8="","",(J8="Sí")*3+(K8="Sí")*2+(L8="Sí")*2+(M8="Sí")*2+(N(H8)&gt;=50)*1)</f>
        <v/>
      </c>
      <c r="O8" s="15" t="str">
        <f aca="false">IF(N8="","",IF(N8&gt;=6,"ALTA",IF(N8&gt;=3,"MEDIA","BAJA")))</f>
        <v/>
      </c>
      <c r="P8" s="9"/>
      <c r="Q8" s="13"/>
      <c r="R8" s="9"/>
      <c r="S8" s="14"/>
      <c r="T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10"/>
      <c r="J9" s="9"/>
      <c r="K9" s="9"/>
      <c r="L9" s="9"/>
      <c r="M9" s="9"/>
      <c r="N9" s="15" t="str">
        <f aca="false">IF(A9="","",(J9="Sí")*3+(K9="Sí")*2+(L9="Sí")*2+(M9="Sí")*2+(N(H9)&gt;=50)*1)</f>
        <v/>
      </c>
      <c r="O9" s="15" t="str">
        <f aca="false">IF(N9="","",IF(N9&gt;=6,"ALTA",IF(N9&gt;=3,"MEDIA","BAJA")))</f>
        <v/>
      </c>
      <c r="P9" s="9"/>
      <c r="Q9" s="13"/>
      <c r="R9" s="9"/>
      <c r="S9" s="14"/>
      <c r="T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10"/>
      <c r="J10" s="9"/>
      <c r="K10" s="9"/>
      <c r="L10" s="9"/>
      <c r="M10" s="9"/>
      <c r="N10" s="15" t="str">
        <f aca="false">IF(A10="","",(J10="Sí")*3+(K10="Sí")*2+(L10="Sí")*2+(M10="Sí")*2+(N(H10)&gt;=50)*1)</f>
        <v/>
      </c>
      <c r="O10" s="15" t="str">
        <f aca="false">IF(N10="","",IF(N10&gt;=6,"ALTA",IF(N10&gt;=3,"MEDIA","BAJA")))</f>
        <v/>
      </c>
      <c r="P10" s="9"/>
      <c r="Q10" s="13"/>
      <c r="R10" s="9"/>
      <c r="S10" s="14"/>
      <c r="T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10"/>
      <c r="J11" s="9"/>
      <c r="K11" s="9"/>
      <c r="L11" s="9"/>
      <c r="M11" s="9"/>
      <c r="N11" s="15" t="str">
        <f aca="false">IF(A11="","",(J11="Sí")*3+(K11="Sí")*2+(L11="Sí")*2+(M11="Sí")*2+(N(H11)&gt;=50)*1)</f>
        <v/>
      </c>
      <c r="O11" s="15" t="str">
        <f aca="false">IF(N11="","",IF(N11&gt;=6,"ALTA",IF(N11&gt;=3,"MEDIA","BAJA")))</f>
        <v/>
      </c>
      <c r="P11" s="9"/>
      <c r="Q11" s="13"/>
      <c r="R11" s="9"/>
      <c r="S11" s="14"/>
      <c r="T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10"/>
      <c r="J12" s="9"/>
      <c r="K12" s="9"/>
      <c r="L12" s="9"/>
      <c r="M12" s="9"/>
      <c r="N12" s="15" t="str">
        <f aca="false">IF(A12="","",(J12="Sí")*3+(K12="Sí")*2+(L12="Sí")*2+(M12="Sí")*2+(N(H12)&gt;=50)*1)</f>
        <v/>
      </c>
      <c r="O12" s="15" t="str">
        <f aca="false">IF(N12="","",IF(N12&gt;=6,"ALTA",IF(N12&gt;=3,"MEDIA","BAJA")))</f>
        <v/>
      </c>
      <c r="P12" s="9"/>
      <c r="Q12" s="13"/>
      <c r="R12" s="9"/>
      <c r="S12" s="14"/>
      <c r="T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10"/>
      <c r="J13" s="9"/>
      <c r="K13" s="9"/>
      <c r="L13" s="9"/>
      <c r="M13" s="9"/>
      <c r="N13" s="15" t="str">
        <f aca="false">IF(A13="","",(J13="Sí")*3+(K13="Sí")*2+(L13="Sí")*2+(M13="Sí")*2+(N(H13)&gt;=50)*1)</f>
        <v/>
      </c>
      <c r="O13" s="15" t="str">
        <f aca="false">IF(N13="","",IF(N13&gt;=6,"ALTA",IF(N13&gt;=3,"MEDIA","BAJA")))</f>
        <v/>
      </c>
      <c r="P13" s="9"/>
      <c r="Q13" s="13"/>
      <c r="R13" s="9"/>
      <c r="S13" s="14"/>
      <c r="T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10"/>
      <c r="J14" s="9"/>
      <c r="K14" s="9"/>
      <c r="L14" s="9"/>
      <c r="M14" s="9"/>
      <c r="N14" s="15" t="str">
        <f aca="false">IF(A14="","",(J14="Sí")*3+(K14="Sí")*2+(L14="Sí")*2+(M14="Sí")*2+(N(H14)&gt;=50)*1)</f>
        <v/>
      </c>
      <c r="O14" s="15" t="str">
        <f aca="false">IF(N14="","",IF(N14&gt;=6,"ALTA",IF(N14&gt;=3,"MEDIA","BAJA")))</f>
        <v/>
      </c>
      <c r="P14" s="9"/>
      <c r="Q14" s="13"/>
      <c r="R14" s="9"/>
      <c r="S14" s="14"/>
      <c r="T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10"/>
      <c r="J15" s="9"/>
      <c r="K15" s="9"/>
      <c r="L15" s="9"/>
      <c r="M15" s="9"/>
      <c r="N15" s="15" t="str">
        <f aca="false">IF(A15="","",(J15="Sí")*3+(K15="Sí")*2+(L15="Sí")*2+(M15="Sí")*2+(N(H15)&gt;=50)*1)</f>
        <v/>
      </c>
      <c r="O15" s="15" t="str">
        <f aca="false">IF(N15="","",IF(N15&gt;=6,"ALTA",IF(N15&gt;=3,"MEDIA","BAJA")))</f>
        <v/>
      </c>
      <c r="P15" s="9"/>
      <c r="Q15" s="13"/>
      <c r="R15" s="9"/>
      <c r="S15" s="14"/>
      <c r="T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10"/>
      <c r="J16" s="9"/>
      <c r="K16" s="9"/>
      <c r="L16" s="9"/>
      <c r="M16" s="9"/>
      <c r="N16" s="15" t="str">
        <f aca="false">IF(A16="","",(J16="Sí")*3+(K16="Sí")*2+(L16="Sí")*2+(M16="Sí")*2+(N(H16)&gt;=50)*1)</f>
        <v/>
      </c>
      <c r="O16" s="15" t="str">
        <f aca="false">IF(N16="","",IF(N16&gt;=6,"ALTA",IF(N16&gt;=3,"MEDIA","BAJA")))</f>
        <v/>
      </c>
      <c r="P16" s="9"/>
      <c r="Q16" s="13"/>
      <c r="R16" s="9"/>
      <c r="S16" s="14"/>
      <c r="T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10"/>
      <c r="J17" s="9"/>
      <c r="K17" s="9"/>
      <c r="L17" s="9"/>
      <c r="M17" s="9"/>
      <c r="N17" s="15" t="str">
        <f aca="false">IF(A17="","",(J17="Sí")*3+(K17="Sí")*2+(L17="Sí")*2+(M17="Sí")*2+(N(H17)&gt;=50)*1)</f>
        <v/>
      </c>
      <c r="O17" s="15" t="str">
        <f aca="false">IF(N17="","",IF(N17&gt;=6,"ALTA",IF(N17&gt;=3,"MEDIA","BAJA")))</f>
        <v/>
      </c>
      <c r="P17" s="9"/>
      <c r="Q17" s="13"/>
      <c r="R17" s="9"/>
      <c r="S17" s="14"/>
      <c r="T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10"/>
      <c r="J18" s="9"/>
      <c r="K18" s="9"/>
      <c r="L18" s="9"/>
      <c r="M18" s="9"/>
      <c r="N18" s="15" t="str">
        <f aca="false">IF(A18="","",(J18="Sí")*3+(K18="Sí")*2+(L18="Sí")*2+(M18="Sí")*2+(N(H18)&gt;=50)*1)</f>
        <v/>
      </c>
      <c r="O18" s="15" t="str">
        <f aca="false">IF(N18="","",IF(N18&gt;=6,"ALTA",IF(N18&gt;=3,"MEDIA","BAJA")))</f>
        <v/>
      </c>
      <c r="P18" s="9"/>
      <c r="Q18" s="13"/>
      <c r="R18" s="9"/>
      <c r="S18" s="14"/>
      <c r="T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10"/>
      <c r="J19" s="9"/>
      <c r="K19" s="9"/>
      <c r="L19" s="9"/>
      <c r="M19" s="9"/>
      <c r="N19" s="15" t="str">
        <f aca="false">IF(A19="","",(J19="Sí")*3+(K19="Sí")*2+(L19="Sí")*2+(M19="Sí")*2+(N(H19)&gt;=50)*1)</f>
        <v/>
      </c>
      <c r="O19" s="15" t="str">
        <f aca="false">IF(N19="","",IF(N19&gt;=6,"ALTA",IF(N19&gt;=3,"MEDIA","BAJA")))</f>
        <v/>
      </c>
      <c r="P19" s="9"/>
      <c r="Q19" s="13"/>
      <c r="R19" s="9"/>
      <c r="S19" s="14"/>
      <c r="T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10"/>
      <c r="J20" s="9"/>
      <c r="K20" s="9"/>
      <c r="L20" s="9"/>
      <c r="M20" s="9"/>
      <c r="N20" s="15" t="str">
        <f aca="false">IF(A20="","",(J20="Sí")*3+(K20="Sí")*2+(L20="Sí")*2+(M20="Sí")*2+(N(H20)&gt;=50)*1)</f>
        <v/>
      </c>
      <c r="O20" s="15" t="str">
        <f aca="false">IF(N20="","",IF(N20&gt;=6,"ALTA",IF(N20&gt;=3,"MEDIA","BAJA")))</f>
        <v/>
      </c>
      <c r="P20" s="9"/>
      <c r="Q20" s="13"/>
      <c r="R20" s="9"/>
      <c r="S20" s="14"/>
      <c r="T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10"/>
      <c r="J21" s="9"/>
      <c r="K21" s="9"/>
      <c r="L21" s="9"/>
      <c r="M21" s="9"/>
      <c r="N21" s="15" t="str">
        <f aca="false">IF(A21="","",(J21="Sí")*3+(K21="Sí")*2+(L21="Sí")*2+(M21="Sí")*2+(N(H21)&gt;=50)*1)</f>
        <v/>
      </c>
      <c r="O21" s="15" t="str">
        <f aca="false">IF(N21="","",IF(N21&gt;=6,"ALTA",IF(N21&gt;=3,"MEDIA","BAJA")))</f>
        <v/>
      </c>
      <c r="P21" s="9"/>
      <c r="Q21" s="13"/>
      <c r="R21" s="9"/>
      <c r="S21" s="14"/>
      <c r="T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10"/>
      <c r="J22" s="9"/>
      <c r="K22" s="9"/>
      <c r="L22" s="9"/>
      <c r="M22" s="9"/>
      <c r="N22" s="15" t="str">
        <f aca="false">IF(A22="","",(J22="Sí")*3+(K22="Sí")*2+(L22="Sí")*2+(M22="Sí")*2+(N(H22)&gt;=50)*1)</f>
        <v/>
      </c>
      <c r="O22" s="15" t="str">
        <f aca="false">IF(N22="","",IF(N22&gt;=6,"ALTA",IF(N22&gt;=3,"MEDIA","BAJA")))</f>
        <v/>
      </c>
      <c r="P22" s="9"/>
      <c r="Q22" s="13"/>
      <c r="R22" s="9"/>
      <c r="S22" s="14"/>
      <c r="T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10"/>
      <c r="J23" s="9"/>
      <c r="K23" s="9"/>
      <c r="L23" s="9"/>
      <c r="M23" s="9"/>
      <c r="N23" s="15" t="str">
        <f aca="false">IF(A23="","",(J23="Sí")*3+(K23="Sí")*2+(L23="Sí")*2+(M23="Sí")*2+(N(H23)&gt;=50)*1)</f>
        <v/>
      </c>
      <c r="O23" s="15" t="str">
        <f aca="false">IF(N23="","",IF(N23&gt;=6,"ALTA",IF(N23&gt;=3,"MEDIA","BAJA")))</f>
        <v/>
      </c>
      <c r="P23" s="9"/>
      <c r="Q23" s="13"/>
      <c r="R23" s="9"/>
      <c r="S23" s="14"/>
      <c r="T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10"/>
      <c r="J24" s="9"/>
      <c r="K24" s="9"/>
      <c r="L24" s="9"/>
      <c r="M24" s="9"/>
      <c r="N24" s="15" t="str">
        <f aca="false">IF(A24="","",(J24="Sí")*3+(K24="Sí")*2+(L24="Sí")*2+(M24="Sí")*2+(N(H24)&gt;=50)*1)</f>
        <v/>
      </c>
      <c r="O24" s="15" t="str">
        <f aca="false">IF(N24="","",IF(N24&gt;=6,"ALTA",IF(N24&gt;=3,"MEDIA","BAJA")))</f>
        <v/>
      </c>
      <c r="P24" s="9"/>
      <c r="Q24" s="13"/>
      <c r="R24" s="9"/>
      <c r="S24" s="14"/>
      <c r="T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10"/>
      <c r="J25" s="9"/>
      <c r="K25" s="9"/>
      <c r="L25" s="9"/>
      <c r="M25" s="9"/>
      <c r="N25" s="15" t="str">
        <f aca="false">IF(A25="","",(J25="Sí")*3+(K25="Sí")*2+(L25="Sí")*2+(M25="Sí")*2+(N(H25)&gt;=50)*1)</f>
        <v/>
      </c>
      <c r="O25" s="15" t="str">
        <f aca="false">IF(N25="","",IF(N25&gt;=6,"ALTA",IF(N25&gt;=3,"MEDIA","BAJA")))</f>
        <v/>
      </c>
      <c r="P25" s="9"/>
      <c r="Q25" s="13"/>
      <c r="R25" s="9"/>
      <c r="S25" s="14"/>
      <c r="T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10"/>
      <c r="J26" s="9"/>
      <c r="K26" s="9"/>
      <c r="L26" s="9"/>
      <c r="M26" s="9"/>
      <c r="N26" s="15" t="str">
        <f aca="false">IF(A26="","",(J26="Sí")*3+(K26="Sí")*2+(L26="Sí")*2+(M26="Sí")*2+(N(H26)&gt;=50)*1)</f>
        <v/>
      </c>
      <c r="O26" s="15" t="str">
        <f aca="false">IF(N26="","",IF(N26&gt;=6,"ALTA",IF(N26&gt;=3,"MEDIA","BAJA")))</f>
        <v/>
      </c>
      <c r="P26" s="9"/>
      <c r="Q26" s="13"/>
      <c r="R26" s="9"/>
      <c r="S26" s="14"/>
      <c r="T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10"/>
      <c r="J27" s="9"/>
      <c r="K27" s="9"/>
      <c r="L27" s="9"/>
      <c r="M27" s="9"/>
      <c r="N27" s="15" t="str">
        <f aca="false">IF(A27="","",(J27="Sí")*3+(K27="Sí")*2+(L27="Sí")*2+(M27="Sí")*2+(N(H27)&gt;=50)*1)</f>
        <v/>
      </c>
      <c r="O27" s="15" t="str">
        <f aca="false">IF(N27="","",IF(N27&gt;=6,"ALTA",IF(N27&gt;=3,"MEDIA","BAJA")))</f>
        <v/>
      </c>
      <c r="P27" s="9"/>
      <c r="Q27" s="13"/>
      <c r="R27" s="9"/>
      <c r="S27" s="14"/>
      <c r="T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10"/>
      <c r="J28" s="9"/>
      <c r="K28" s="9"/>
      <c r="L28" s="9"/>
      <c r="M28" s="9"/>
      <c r="N28" s="15" t="str">
        <f aca="false">IF(A28="","",(J28="Sí")*3+(K28="Sí")*2+(L28="Sí")*2+(M28="Sí")*2+(N(H28)&gt;=50)*1)</f>
        <v/>
      </c>
      <c r="O28" s="15" t="str">
        <f aca="false">IF(N28="","",IF(N28&gt;=6,"ALTA",IF(N28&gt;=3,"MEDIA","BAJA")))</f>
        <v/>
      </c>
      <c r="P28" s="9"/>
      <c r="Q28" s="13"/>
      <c r="R28" s="9"/>
      <c r="S28" s="14"/>
      <c r="T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10"/>
      <c r="J29" s="9"/>
      <c r="K29" s="9"/>
      <c r="L29" s="9"/>
      <c r="M29" s="9"/>
      <c r="N29" s="15" t="str">
        <f aca="false">IF(A29="","",(J29="Sí")*3+(K29="Sí")*2+(L29="Sí")*2+(M29="Sí")*2+(N(H29)&gt;=50)*1)</f>
        <v/>
      </c>
      <c r="O29" s="15" t="str">
        <f aca="false">IF(N29="","",IF(N29&gt;=6,"ALTA",IF(N29&gt;=3,"MEDIA","BAJA")))</f>
        <v/>
      </c>
      <c r="P29" s="9"/>
      <c r="Q29" s="13"/>
      <c r="R29" s="9"/>
      <c r="S29" s="14"/>
      <c r="T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10"/>
      <c r="J30" s="9"/>
      <c r="K30" s="9"/>
      <c r="L30" s="9"/>
      <c r="M30" s="9"/>
      <c r="N30" s="15" t="str">
        <f aca="false">IF(A30="","",(J30="Sí")*3+(K30="Sí")*2+(L30="Sí")*2+(M30="Sí")*2+(N(H30)&gt;=50)*1)</f>
        <v/>
      </c>
      <c r="O30" s="15" t="str">
        <f aca="false">IF(N30="","",IF(N30&gt;=6,"ALTA",IF(N30&gt;=3,"MEDIA","BAJA")))</f>
        <v/>
      </c>
      <c r="P30" s="9"/>
      <c r="Q30" s="13"/>
      <c r="R30" s="9"/>
      <c r="S30" s="14"/>
      <c r="T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10"/>
      <c r="J31" s="9"/>
      <c r="K31" s="9"/>
      <c r="L31" s="9"/>
      <c r="M31" s="9"/>
      <c r="N31" s="15" t="str">
        <f aca="false">IF(A31="","",(J31="Sí")*3+(K31="Sí")*2+(L31="Sí")*2+(M31="Sí")*2+(N(H31)&gt;=50)*1)</f>
        <v/>
      </c>
      <c r="O31" s="15" t="str">
        <f aca="false">IF(N31="","",IF(N31&gt;=6,"ALTA",IF(N31&gt;=3,"MEDIA","BAJA")))</f>
        <v/>
      </c>
      <c r="P31" s="9"/>
      <c r="Q31" s="13"/>
      <c r="R31" s="9"/>
      <c r="S31" s="14"/>
      <c r="T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10"/>
      <c r="J32" s="9"/>
      <c r="K32" s="9"/>
      <c r="L32" s="9"/>
      <c r="M32" s="9"/>
      <c r="N32" s="15" t="str">
        <f aca="false">IF(A32="","",(J32="Sí")*3+(K32="Sí")*2+(L32="Sí")*2+(M32="Sí")*2+(N(H32)&gt;=50)*1)</f>
        <v/>
      </c>
      <c r="O32" s="15" t="str">
        <f aca="false">IF(N32="","",IF(N32&gt;=6,"ALTA",IF(N32&gt;=3,"MEDIA","BAJA")))</f>
        <v/>
      </c>
      <c r="P32" s="9"/>
      <c r="Q32" s="13"/>
      <c r="R32" s="9"/>
      <c r="S32" s="14"/>
      <c r="T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10"/>
      <c r="J33" s="9"/>
      <c r="K33" s="9"/>
      <c r="L33" s="9"/>
      <c r="M33" s="9"/>
      <c r="N33" s="15" t="str">
        <f aca="false">IF(A33="","",(J33="Sí")*3+(K33="Sí")*2+(L33="Sí")*2+(M33="Sí")*2+(N(H33)&gt;=50)*1)</f>
        <v/>
      </c>
      <c r="O33" s="15" t="str">
        <f aca="false">IF(N33="","",IF(N33&gt;=6,"ALTA",IF(N33&gt;=3,"MEDIA","BAJA")))</f>
        <v/>
      </c>
      <c r="P33" s="9"/>
      <c r="Q33" s="13"/>
      <c r="R33" s="9"/>
      <c r="S33" s="14"/>
      <c r="T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10"/>
      <c r="J34" s="9"/>
      <c r="K34" s="9"/>
      <c r="L34" s="9"/>
      <c r="M34" s="9"/>
      <c r="N34" s="15" t="str">
        <f aca="false">IF(A34="","",(J34="Sí")*3+(K34="Sí")*2+(L34="Sí")*2+(M34="Sí")*2+(N(H34)&gt;=50)*1)</f>
        <v/>
      </c>
      <c r="O34" s="15" t="str">
        <f aca="false">IF(N34="","",IF(N34&gt;=6,"ALTA",IF(N34&gt;=3,"MEDIA","BAJA")))</f>
        <v/>
      </c>
      <c r="P34" s="9"/>
      <c r="Q34" s="13"/>
      <c r="R34" s="9"/>
      <c r="S34" s="14"/>
      <c r="T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10"/>
      <c r="J35" s="9"/>
      <c r="K35" s="9"/>
      <c r="L35" s="9"/>
      <c r="M35" s="9"/>
      <c r="N35" s="15" t="str">
        <f aca="false">IF(A35="","",(J35="Sí")*3+(K35="Sí")*2+(L35="Sí")*2+(M35="Sí")*2+(N(H35)&gt;=50)*1)</f>
        <v/>
      </c>
      <c r="O35" s="15" t="str">
        <f aca="false">IF(N35="","",IF(N35&gt;=6,"ALTA",IF(N35&gt;=3,"MEDIA","BAJA")))</f>
        <v/>
      </c>
      <c r="P35" s="9"/>
      <c r="Q35" s="13"/>
      <c r="R35" s="9"/>
      <c r="S35" s="14"/>
      <c r="T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10"/>
      <c r="J36" s="9"/>
      <c r="K36" s="9"/>
      <c r="L36" s="9"/>
      <c r="M36" s="9"/>
      <c r="N36" s="15" t="str">
        <f aca="false">IF(A36="","",(J36="Sí")*3+(K36="Sí")*2+(L36="Sí")*2+(M36="Sí")*2+(N(H36)&gt;=50)*1)</f>
        <v/>
      </c>
      <c r="O36" s="15" t="str">
        <f aca="false">IF(N36="","",IF(N36&gt;=6,"ALTA",IF(N36&gt;=3,"MEDIA","BAJA")))</f>
        <v/>
      </c>
      <c r="P36" s="9"/>
      <c r="Q36" s="13"/>
      <c r="R36" s="9"/>
      <c r="S36" s="14"/>
      <c r="T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10"/>
      <c r="J37" s="9"/>
      <c r="K37" s="9"/>
      <c r="L37" s="9"/>
      <c r="M37" s="9"/>
      <c r="N37" s="15" t="str">
        <f aca="false">IF(A37="","",(J37="Sí")*3+(K37="Sí")*2+(L37="Sí")*2+(M37="Sí")*2+(N(H37)&gt;=50)*1)</f>
        <v/>
      </c>
      <c r="O37" s="15" t="str">
        <f aca="false">IF(N37="","",IF(N37&gt;=6,"ALTA",IF(N37&gt;=3,"MEDIA","BAJA")))</f>
        <v/>
      </c>
      <c r="P37" s="9"/>
      <c r="Q37" s="13"/>
      <c r="R37" s="9"/>
      <c r="S37" s="14"/>
      <c r="T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10"/>
      <c r="J38" s="9"/>
      <c r="K38" s="9"/>
      <c r="L38" s="9"/>
      <c r="M38" s="9"/>
      <c r="N38" s="15" t="str">
        <f aca="false">IF(A38="","",(J38="Sí")*3+(K38="Sí")*2+(L38="Sí")*2+(M38="Sí")*2+(N(H38)&gt;=50)*1)</f>
        <v/>
      </c>
      <c r="O38" s="15" t="str">
        <f aca="false">IF(N38="","",IF(N38&gt;=6,"ALTA",IF(N38&gt;=3,"MEDIA","BAJA")))</f>
        <v/>
      </c>
      <c r="P38" s="9"/>
      <c r="Q38" s="13"/>
      <c r="R38" s="9"/>
      <c r="S38" s="14"/>
      <c r="T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10"/>
      <c r="J39" s="9"/>
      <c r="K39" s="9"/>
      <c r="L39" s="9"/>
      <c r="M39" s="9"/>
      <c r="N39" s="15" t="str">
        <f aca="false">IF(A39="","",(J39="Sí")*3+(K39="Sí")*2+(L39="Sí")*2+(M39="Sí")*2+(N(H39)&gt;=50)*1)</f>
        <v/>
      </c>
      <c r="O39" s="15" t="str">
        <f aca="false">IF(N39="","",IF(N39&gt;=6,"ALTA",IF(N39&gt;=3,"MEDIA","BAJA")))</f>
        <v/>
      </c>
      <c r="P39" s="9"/>
      <c r="Q39" s="13"/>
      <c r="R39" s="9"/>
      <c r="S39" s="14"/>
      <c r="T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10"/>
      <c r="J40" s="9"/>
      <c r="K40" s="9"/>
      <c r="L40" s="9"/>
      <c r="M40" s="9"/>
      <c r="N40" s="15" t="str">
        <f aca="false">IF(A40="","",(J40="Sí")*3+(K40="Sí")*2+(L40="Sí")*2+(M40="Sí")*2+(N(H40)&gt;=50)*1)</f>
        <v/>
      </c>
      <c r="O40" s="15" t="str">
        <f aca="false">IF(N40="","",IF(N40&gt;=6,"ALTA",IF(N40&gt;=3,"MEDIA","BAJA")))</f>
        <v/>
      </c>
      <c r="P40" s="9"/>
      <c r="Q40" s="13"/>
      <c r="R40" s="9"/>
      <c r="S40" s="14"/>
      <c r="T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10"/>
      <c r="J41" s="9"/>
      <c r="K41" s="9"/>
      <c r="L41" s="9"/>
      <c r="M41" s="9"/>
      <c r="N41" s="15" t="str">
        <f aca="false">IF(A41="","",(J41="Sí")*3+(K41="Sí")*2+(L41="Sí")*2+(M41="Sí")*2+(N(H41)&gt;=50)*1)</f>
        <v/>
      </c>
      <c r="O41" s="15" t="str">
        <f aca="false">IF(N41="","",IF(N41&gt;=6,"ALTA",IF(N41&gt;=3,"MEDIA","BAJA")))</f>
        <v/>
      </c>
      <c r="P41" s="9"/>
      <c r="Q41" s="13"/>
      <c r="R41" s="9"/>
      <c r="S41" s="14"/>
      <c r="T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10"/>
      <c r="J42" s="9"/>
      <c r="K42" s="9"/>
      <c r="L42" s="9"/>
      <c r="M42" s="9"/>
      <c r="N42" s="15" t="str">
        <f aca="false">IF(A42="","",(J42="Sí")*3+(K42="Sí")*2+(L42="Sí")*2+(M42="Sí")*2+(N(H42)&gt;=50)*1)</f>
        <v/>
      </c>
      <c r="O42" s="15" t="str">
        <f aca="false">IF(N42="","",IF(N42&gt;=6,"ALTA",IF(N42&gt;=3,"MEDIA","BAJA")))</f>
        <v/>
      </c>
      <c r="P42" s="9"/>
      <c r="Q42" s="13"/>
      <c r="R42" s="9"/>
      <c r="S42" s="14"/>
      <c r="T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10"/>
      <c r="J43" s="9"/>
      <c r="K43" s="9"/>
      <c r="L43" s="9"/>
      <c r="M43" s="9"/>
      <c r="N43" s="15" t="str">
        <f aca="false">IF(A43="","",(J43="Sí")*3+(K43="Sí")*2+(L43="Sí")*2+(M43="Sí")*2+(N(H43)&gt;=50)*1)</f>
        <v/>
      </c>
      <c r="O43" s="15" t="str">
        <f aca="false">IF(N43="","",IF(N43&gt;=6,"ALTA",IF(N43&gt;=3,"MEDIA","BAJA")))</f>
        <v/>
      </c>
      <c r="P43" s="9"/>
      <c r="Q43" s="13"/>
      <c r="R43" s="9"/>
      <c r="S43" s="14"/>
      <c r="T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10"/>
      <c r="J44" s="9"/>
      <c r="K44" s="9"/>
      <c r="L44" s="9"/>
      <c r="M44" s="9"/>
      <c r="N44" s="15" t="str">
        <f aca="false">IF(A44="","",(J44="Sí")*3+(K44="Sí")*2+(L44="Sí")*2+(M44="Sí")*2+(N(H44)&gt;=50)*1)</f>
        <v/>
      </c>
      <c r="O44" s="15" t="str">
        <f aca="false">IF(N44="","",IF(N44&gt;=6,"ALTA",IF(N44&gt;=3,"MEDIA","BAJA")))</f>
        <v/>
      </c>
      <c r="P44" s="9"/>
      <c r="Q44" s="13"/>
      <c r="R44" s="9"/>
      <c r="S44" s="14"/>
      <c r="T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10"/>
      <c r="J45" s="9"/>
      <c r="K45" s="9"/>
      <c r="L45" s="9"/>
      <c r="M45" s="9"/>
      <c r="N45" s="15" t="str">
        <f aca="false">IF(A45="","",(J45="Sí")*3+(K45="Sí")*2+(L45="Sí")*2+(M45="Sí")*2+(N(H45)&gt;=50)*1)</f>
        <v/>
      </c>
      <c r="O45" s="15" t="str">
        <f aca="false">IF(N45="","",IF(N45&gt;=6,"ALTA",IF(N45&gt;=3,"MEDIA","BAJA")))</f>
        <v/>
      </c>
      <c r="P45" s="9"/>
      <c r="Q45" s="13"/>
      <c r="R45" s="9"/>
      <c r="S45" s="14"/>
      <c r="T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10"/>
      <c r="J46" s="9"/>
      <c r="K46" s="9"/>
      <c r="L46" s="9"/>
      <c r="M46" s="9"/>
      <c r="N46" s="15" t="str">
        <f aca="false">IF(A46="","",(J46="Sí")*3+(K46="Sí")*2+(L46="Sí")*2+(M46="Sí")*2+(N(H46)&gt;=50)*1)</f>
        <v/>
      </c>
      <c r="O46" s="15" t="str">
        <f aca="false">IF(N46="","",IF(N46&gt;=6,"ALTA",IF(N46&gt;=3,"MEDIA","BAJA")))</f>
        <v/>
      </c>
      <c r="P46" s="9"/>
      <c r="Q46" s="13"/>
      <c r="R46" s="9"/>
      <c r="S46" s="14"/>
      <c r="T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10"/>
      <c r="J47" s="9"/>
      <c r="K47" s="9"/>
      <c r="L47" s="9"/>
      <c r="M47" s="9"/>
      <c r="N47" s="15" t="str">
        <f aca="false">IF(A47="","",(J47="Sí")*3+(K47="Sí")*2+(L47="Sí")*2+(M47="Sí")*2+(N(H47)&gt;=50)*1)</f>
        <v/>
      </c>
      <c r="O47" s="15" t="str">
        <f aca="false">IF(N47="","",IF(N47&gt;=6,"ALTA",IF(N47&gt;=3,"MEDIA","BAJA")))</f>
        <v/>
      </c>
      <c r="P47" s="9"/>
      <c r="Q47" s="13"/>
      <c r="R47" s="9"/>
      <c r="S47" s="14"/>
      <c r="T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10"/>
      <c r="J48" s="9"/>
      <c r="K48" s="9"/>
      <c r="L48" s="9"/>
      <c r="M48" s="9"/>
      <c r="N48" s="15" t="str">
        <f aca="false">IF(A48="","",(J48="Sí")*3+(K48="Sí")*2+(L48="Sí")*2+(M48="Sí")*2+(N(H48)&gt;=50)*1)</f>
        <v/>
      </c>
      <c r="O48" s="15" t="str">
        <f aca="false">IF(N48="","",IF(N48&gt;=6,"ALTA",IF(N48&gt;=3,"MEDIA","BAJA")))</f>
        <v/>
      </c>
      <c r="P48" s="9"/>
      <c r="Q48" s="13"/>
      <c r="R48" s="9"/>
      <c r="S48" s="14"/>
      <c r="T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10"/>
      <c r="J49" s="9"/>
      <c r="K49" s="9"/>
      <c r="L49" s="9"/>
      <c r="M49" s="9"/>
      <c r="N49" s="15" t="str">
        <f aca="false">IF(A49="","",(J49="Sí")*3+(K49="Sí")*2+(L49="Sí")*2+(M49="Sí")*2+(N(H49)&gt;=50)*1)</f>
        <v/>
      </c>
      <c r="O49" s="15" t="str">
        <f aca="false">IF(N49="","",IF(N49&gt;=6,"ALTA",IF(N49&gt;=3,"MEDIA","BAJA")))</f>
        <v/>
      </c>
      <c r="P49" s="9"/>
      <c r="Q49" s="13"/>
      <c r="R49" s="9"/>
      <c r="S49" s="14"/>
      <c r="T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10"/>
      <c r="J50" s="9"/>
      <c r="K50" s="9"/>
      <c r="L50" s="9"/>
      <c r="M50" s="9"/>
      <c r="N50" s="15" t="str">
        <f aca="false">IF(A50="","",(J50="Sí")*3+(K50="Sí")*2+(L50="Sí")*2+(M50="Sí")*2+(N(H50)&gt;=50)*1)</f>
        <v/>
      </c>
      <c r="O50" s="15" t="str">
        <f aca="false">IF(N50="","",IF(N50&gt;=6,"ALTA",IF(N50&gt;=3,"MEDIA","BAJA")))</f>
        <v/>
      </c>
      <c r="P50" s="9"/>
      <c r="Q50" s="13"/>
      <c r="R50" s="9"/>
      <c r="S50" s="14"/>
      <c r="T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10"/>
      <c r="J51" s="9"/>
      <c r="K51" s="9"/>
      <c r="L51" s="9"/>
      <c r="M51" s="9"/>
      <c r="N51" s="15" t="str">
        <f aca="false">IF(A51="","",(J51="Sí")*3+(K51="Sí")*2+(L51="Sí")*2+(M51="Sí")*2+(N(H51)&gt;=50)*1)</f>
        <v/>
      </c>
      <c r="O51" s="15" t="str">
        <f aca="false">IF(N51="","",IF(N51&gt;=6,"ALTA",IF(N51&gt;=3,"MEDIA","BAJA")))</f>
        <v/>
      </c>
      <c r="P51" s="9"/>
      <c r="Q51" s="13"/>
      <c r="R51" s="9"/>
      <c r="S51" s="14"/>
      <c r="T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10"/>
      <c r="J52" s="9"/>
      <c r="K52" s="9"/>
      <c r="L52" s="9"/>
      <c r="M52" s="9"/>
      <c r="N52" s="15" t="str">
        <f aca="false">IF(A52="","",(J52="Sí")*3+(K52="Sí")*2+(L52="Sí")*2+(M52="Sí")*2+(N(H52)&gt;=50)*1)</f>
        <v/>
      </c>
      <c r="O52" s="15" t="str">
        <f aca="false">IF(N52="","",IF(N52&gt;=6,"ALTA",IF(N52&gt;=3,"MEDIA","BAJA")))</f>
        <v/>
      </c>
      <c r="P52" s="9"/>
      <c r="Q52" s="13"/>
      <c r="R52" s="9"/>
      <c r="S52" s="14"/>
      <c r="T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10"/>
      <c r="J53" s="9"/>
      <c r="K53" s="9"/>
      <c r="L53" s="9"/>
      <c r="M53" s="9"/>
      <c r="N53" s="15" t="str">
        <f aca="false">IF(A53="","",(J53="Sí")*3+(K53="Sí")*2+(L53="Sí")*2+(M53="Sí")*2+(N(H53)&gt;=50)*1)</f>
        <v/>
      </c>
      <c r="O53" s="15" t="str">
        <f aca="false">IF(N53="","",IF(N53&gt;=6,"ALTA",IF(N53&gt;=3,"MEDIA","BAJA")))</f>
        <v/>
      </c>
      <c r="P53" s="9"/>
      <c r="Q53" s="13"/>
      <c r="R53" s="9"/>
      <c r="S53" s="14"/>
      <c r="T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10"/>
      <c r="J54" s="9"/>
      <c r="K54" s="9"/>
      <c r="L54" s="9"/>
      <c r="M54" s="9"/>
      <c r="N54" s="15" t="str">
        <f aca="false">IF(A54="","",(J54="Sí")*3+(K54="Sí")*2+(L54="Sí")*2+(M54="Sí")*2+(N(H54)&gt;=50)*1)</f>
        <v/>
      </c>
      <c r="O54" s="15" t="str">
        <f aca="false">IF(N54="","",IF(N54&gt;=6,"ALTA",IF(N54&gt;=3,"MEDIA","BAJA")))</f>
        <v/>
      </c>
      <c r="P54" s="9"/>
      <c r="Q54" s="13"/>
      <c r="R54" s="9"/>
      <c r="S54" s="14"/>
      <c r="T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10"/>
      <c r="J55" s="9"/>
      <c r="K55" s="9"/>
      <c r="L55" s="9"/>
      <c r="M55" s="9"/>
      <c r="N55" s="15" t="str">
        <f aca="false">IF(A55="","",(J55="Sí")*3+(K55="Sí")*2+(L55="Sí")*2+(M55="Sí")*2+(N(H55)&gt;=50)*1)</f>
        <v/>
      </c>
      <c r="O55" s="15" t="str">
        <f aca="false">IF(N55="","",IF(N55&gt;=6,"ALTA",IF(N55&gt;=3,"MEDIA","BAJA")))</f>
        <v/>
      </c>
      <c r="P55" s="9"/>
      <c r="Q55" s="13"/>
      <c r="R55" s="9"/>
      <c r="S55" s="14"/>
      <c r="T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10"/>
      <c r="J56" s="9"/>
      <c r="K56" s="9"/>
      <c r="L56" s="9"/>
      <c r="M56" s="9"/>
      <c r="N56" s="15" t="str">
        <f aca="false">IF(A56="","",(J56="Sí")*3+(K56="Sí")*2+(L56="Sí")*2+(M56="Sí")*2+(N(H56)&gt;=50)*1)</f>
        <v/>
      </c>
      <c r="O56" s="15" t="str">
        <f aca="false">IF(N56="","",IF(N56&gt;=6,"ALTA",IF(N56&gt;=3,"MEDIA","BAJA")))</f>
        <v/>
      </c>
      <c r="P56" s="9"/>
      <c r="Q56" s="13"/>
      <c r="R56" s="9"/>
      <c r="S56" s="14"/>
      <c r="T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10"/>
      <c r="J57" s="9"/>
      <c r="K57" s="9"/>
      <c r="L57" s="9"/>
      <c r="M57" s="9"/>
      <c r="N57" s="15" t="str">
        <f aca="false">IF(A57="","",(J57="Sí")*3+(K57="Sí")*2+(L57="Sí")*2+(M57="Sí")*2+(N(H57)&gt;=50)*1)</f>
        <v/>
      </c>
      <c r="O57" s="15" t="str">
        <f aca="false">IF(N57="","",IF(N57&gt;=6,"ALTA",IF(N57&gt;=3,"MEDIA","BAJA")))</f>
        <v/>
      </c>
      <c r="P57" s="9"/>
      <c r="Q57" s="13"/>
      <c r="R57" s="9"/>
      <c r="S57" s="14"/>
      <c r="T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10"/>
      <c r="J58" s="9"/>
      <c r="K58" s="9"/>
      <c r="L58" s="9"/>
      <c r="M58" s="9"/>
      <c r="N58" s="15" t="str">
        <f aca="false">IF(A58="","",(J58="Sí")*3+(K58="Sí")*2+(L58="Sí")*2+(M58="Sí")*2+(N(H58)&gt;=50)*1)</f>
        <v/>
      </c>
      <c r="O58" s="15" t="str">
        <f aca="false">IF(N58="","",IF(N58&gt;=6,"ALTA",IF(N58&gt;=3,"MEDIA","BAJA")))</f>
        <v/>
      </c>
      <c r="P58" s="9"/>
      <c r="Q58" s="13"/>
      <c r="R58" s="9"/>
      <c r="S58" s="14"/>
      <c r="T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10"/>
      <c r="J59" s="9"/>
      <c r="K59" s="9"/>
      <c r="L59" s="9"/>
      <c r="M59" s="9"/>
      <c r="N59" s="15" t="str">
        <f aca="false">IF(A59="","",(J59="Sí")*3+(K59="Sí")*2+(L59="Sí")*2+(M59="Sí")*2+(N(H59)&gt;=50)*1)</f>
        <v/>
      </c>
      <c r="O59" s="15" t="str">
        <f aca="false">IF(N59="","",IF(N59&gt;=6,"ALTA",IF(N59&gt;=3,"MEDIA","BAJA")))</f>
        <v/>
      </c>
      <c r="P59" s="9"/>
      <c r="Q59" s="13"/>
      <c r="R59" s="9"/>
      <c r="S59" s="14"/>
      <c r="T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10"/>
      <c r="J60" s="9"/>
      <c r="K60" s="9"/>
      <c r="L60" s="9"/>
      <c r="M60" s="9"/>
      <c r="N60" s="15" t="str">
        <f aca="false">IF(A60="","",(J60="Sí")*3+(K60="Sí")*2+(L60="Sí")*2+(M60="Sí")*2+(N(H60)&gt;=50)*1)</f>
        <v/>
      </c>
      <c r="O60" s="15" t="str">
        <f aca="false">IF(N60="","",IF(N60&gt;=6,"ALTA",IF(N60&gt;=3,"MEDIA","BAJA")))</f>
        <v/>
      </c>
      <c r="P60" s="9"/>
      <c r="Q60" s="13"/>
      <c r="R60" s="9"/>
      <c r="S60" s="14"/>
      <c r="T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10"/>
      <c r="J61" s="9"/>
      <c r="K61" s="9"/>
      <c r="L61" s="9"/>
      <c r="M61" s="9"/>
      <c r="N61" s="15" t="str">
        <f aca="false">IF(A61="","",(J61="Sí")*3+(K61="Sí")*2+(L61="Sí")*2+(M61="Sí")*2+(N(H61)&gt;=50)*1)</f>
        <v/>
      </c>
      <c r="O61" s="15" t="str">
        <f aca="false">IF(N61="","",IF(N61&gt;=6,"ALTA",IF(N61&gt;=3,"MEDIA","BAJA")))</f>
        <v/>
      </c>
      <c r="P61" s="9"/>
      <c r="Q61" s="13"/>
      <c r="R61" s="9"/>
      <c r="S61" s="14"/>
      <c r="T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10"/>
      <c r="J62" s="9"/>
      <c r="K62" s="9"/>
      <c r="L62" s="9"/>
      <c r="M62" s="9"/>
      <c r="N62" s="15" t="str">
        <f aca="false">IF(A62="","",(J62="Sí")*3+(K62="Sí")*2+(L62="Sí")*2+(M62="Sí")*2+(N(H62)&gt;=50)*1)</f>
        <v/>
      </c>
      <c r="O62" s="15" t="str">
        <f aca="false">IF(N62="","",IF(N62&gt;=6,"ALTA",IF(N62&gt;=3,"MEDIA","BAJA")))</f>
        <v/>
      </c>
      <c r="P62" s="9"/>
      <c r="Q62" s="13"/>
      <c r="R62" s="9"/>
      <c r="S62" s="14"/>
      <c r="T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10"/>
      <c r="J63" s="9"/>
      <c r="K63" s="9"/>
      <c r="L63" s="9"/>
      <c r="M63" s="9"/>
      <c r="N63" s="15" t="str">
        <f aca="false">IF(A63="","",(J63="Sí")*3+(K63="Sí")*2+(L63="Sí")*2+(M63="Sí")*2+(N(H63)&gt;=50)*1)</f>
        <v/>
      </c>
      <c r="O63" s="15" t="str">
        <f aca="false">IF(N63="","",IF(N63&gt;=6,"ALTA",IF(N63&gt;=3,"MEDIA","BAJA")))</f>
        <v/>
      </c>
      <c r="P63" s="9"/>
      <c r="Q63" s="13"/>
      <c r="R63" s="9"/>
      <c r="S63" s="14"/>
      <c r="T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10"/>
      <c r="J64" s="9"/>
      <c r="K64" s="9"/>
      <c r="L64" s="9"/>
      <c r="M64" s="9"/>
      <c r="N64" s="15" t="str">
        <f aca="false">IF(A64="","",(J64="Sí")*3+(K64="Sí")*2+(L64="Sí")*2+(M64="Sí")*2+(N(H64)&gt;=50)*1)</f>
        <v/>
      </c>
      <c r="O64" s="15" t="str">
        <f aca="false">IF(N64="","",IF(N64&gt;=6,"ALTA",IF(N64&gt;=3,"MEDIA","BAJA")))</f>
        <v/>
      </c>
      <c r="P64" s="9"/>
      <c r="Q64" s="13"/>
      <c r="R64" s="9"/>
      <c r="S64" s="14"/>
      <c r="T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10"/>
      <c r="J65" s="9"/>
      <c r="K65" s="9"/>
      <c r="L65" s="9"/>
      <c r="M65" s="9"/>
      <c r="N65" s="15" t="str">
        <f aca="false">IF(A65="","",(J65="Sí")*3+(K65="Sí")*2+(L65="Sí")*2+(M65="Sí")*2+(N(H65)&gt;=50)*1)</f>
        <v/>
      </c>
      <c r="O65" s="15" t="str">
        <f aca="false">IF(N65="","",IF(N65&gt;=6,"ALTA",IF(N65&gt;=3,"MEDIA","BAJA")))</f>
        <v/>
      </c>
      <c r="P65" s="9"/>
      <c r="Q65" s="13"/>
      <c r="R65" s="9"/>
      <c r="S65" s="14"/>
      <c r="T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10"/>
      <c r="J66" s="9"/>
      <c r="K66" s="9"/>
      <c r="L66" s="9"/>
      <c r="M66" s="9"/>
      <c r="N66" s="15" t="str">
        <f aca="false">IF(A66="","",(J66="Sí")*3+(K66="Sí")*2+(L66="Sí")*2+(M66="Sí")*2+(N(H66)&gt;=50)*1)</f>
        <v/>
      </c>
      <c r="O66" s="15" t="str">
        <f aca="false">IF(N66="","",IF(N66&gt;=6,"ALTA",IF(N66&gt;=3,"MEDIA","BAJA")))</f>
        <v/>
      </c>
      <c r="P66" s="9"/>
      <c r="Q66" s="13"/>
      <c r="R66" s="9"/>
      <c r="S66" s="14"/>
      <c r="T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10"/>
      <c r="J67" s="9"/>
      <c r="K67" s="9"/>
      <c r="L67" s="9"/>
      <c r="M67" s="9"/>
      <c r="N67" s="15" t="str">
        <f aca="false">IF(A67="","",(J67="Sí")*3+(K67="Sí")*2+(L67="Sí")*2+(M67="Sí")*2+(N(H67)&gt;=50)*1)</f>
        <v/>
      </c>
      <c r="O67" s="15" t="str">
        <f aca="false">IF(N67="","",IF(N67&gt;=6,"ALTA",IF(N67&gt;=3,"MEDIA","BAJA")))</f>
        <v/>
      </c>
      <c r="P67" s="9"/>
      <c r="Q67" s="13"/>
      <c r="R67" s="9"/>
      <c r="S67" s="14"/>
      <c r="T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10"/>
      <c r="J68" s="9"/>
      <c r="K68" s="9"/>
      <c r="L68" s="9"/>
      <c r="M68" s="9"/>
      <c r="N68" s="15" t="str">
        <f aca="false">IF(A68="","",(J68="Sí")*3+(K68="Sí")*2+(L68="Sí")*2+(M68="Sí")*2+(N(H68)&gt;=50)*1)</f>
        <v/>
      </c>
      <c r="O68" s="15" t="str">
        <f aca="false">IF(N68="","",IF(N68&gt;=6,"ALTA",IF(N68&gt;=3,"MEDIA","BAJA")))</f>
        <v/>
      </c>
      <c r="P68" s="9"/>
      <c r="Q68" s="13"/>
      <c r="R68" s="9"/>
      <c r="S68" s="14"/>
      <c r="T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10"/>
      <c r="J69" s="9"/>
      <c r="K69" s="9"/>
      <c r="L69" s="9"/>
      <c r="M69" s="9"/>
      <c r="N69" s="15" t="str">
        <f aca="false">IF(A69="","",(J69="Sí")*3+(K69="Sí")*2+(L69="Sí")*2+(M69="Sí")*2+(N(H69)&gt;=50)*1)</f>
        <v/>
      </c>
      <c r="O69" s="15" t="str">
        <f aca="false">IF(N69="","",IF(N69&gt;=6,"ALTA",IF(N69&gt;=3,"MEDIA","BAJA")))</f>
        <v/>
      </c>
      <c r="P69" s="9"/>
      <c r="Q69" s="13"/>
      <c r="R69" s="9"/>
      <c r="S69" s="14"/>
      <c r="T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10"/>
      <c r="J70" s="9"/>
      <c r="K70" s="9"/>
      <c r="L70" s="9"/>
      <c r="M70" s="9"/>
      <c r="N70" s="15" t="str">
        <f aca="false">IF(A70="","",(J70="Sí")*3+(K70="Sí")*2+(L70="Sí")*2+(M70="Sí")*2+(N(H70)&gt;=50)*1)</f>
        <v/>
      </c>
      <c r="O70" s="15" t="str">
        <f aca="false">IF(N70="","",IF(N70&gt;=6,"ALTA",IF(N70&gt;=3,"MEDIA","BAJA")))</f>
        <v/>
      </c>
      <c r="P70" s="9"/>
      <c r="Q70" s="13"/>
      <c r="R70" s="9"/>
      <c r="S70" s="14"/>
      <c r="T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10"/>
      <c r="J71" s="9"/>
      <c r="K71" s="9"/>
      <c r="L71" s="9"/>
      <c r="M71" s="9"/>
      <c r="N71" s="15" t="str">
        <f aca="false">IF(A71="","",(J71="Sí")*3+(K71="Sí")*2+(L71="Sí")*2+(M71="Sí")*2+(N(H71)&gt;=50)*1)</f>
        <v/>
      </c>
      <c r="O71" s="15" t="str">
        <f aca="false">IF(N71="","",IF(N71&gt;=6,"ALTA",IF(N71&gt;=3,"MEDIA","BAJA")))</f>
        <v/>
      </c>
      <c r="P71" s="9"/>
      <c r="Q71" s="13"/>
      <c r="R71" s="9"/>
      <c r="S71" s="14"/>
      <c r="T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10"/>
      <c r="J72" s="9"/>
      <c r="K72" s="9"/>
      <c r="L72" s="9"/>
      <c r="M72" s="9"/>
      <c r="N72" s="15" t="str">
        <f aca="false">IF(A72="","",(J72="Sí")*3+(K72="Sí")*2+(L72="Sí")*2+(M72="Sí")*2+(N(H72)&gt;=50)*1)</f>
        <v/>
      </c>
      <c r="O72" s="15" t="str">
        <f aca="false">IF(N72="","",IF(N72&gt;=6,"ALTA",IF(N72&gt;=3,"MEDIA","BAJA")))</f>
        <v/>
      </c>
      <c r="P72" s="9"/>
      <c r="Q72" s="13"/>
      <c r="R72" s="9"/>
      <c r="S72" s="14"/>
      <c r="T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10"/>
      <c r="J73" s="9"/>
      <c r="K73" s="9"/>
      <c r="L73" s="9"/>
      <c r="M73" s="9"/>
      <c r="N73" s="15" t="str">
        <f aca="false">IF(A73="","",(J73="Sí")*3+(K73="Sí")*2+(L73="Sí")*2+(M73="Sí")*2+(N(H73)&gt;=50)*1)</f>
        <v/>
      </c>
      <c r="O73" s="15" t="str">
        <f aca="false">IF(N73="","",IF(N73&gt;=6,"ALTA",IF(N73&gt;=3,"MEDIA","BAJA")))</f>
        <v/>
      </c>
      <c r="P73" s="9"/>
      <c r="Q73" s="13"/>
      <c r="R73" s="9"/>
      <c r="S73" s="14"/>
      <c r="T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10"/>
      <c r="J74" s="9"/>
      <c r="K74" s="9"/>
      <c r="L74" s="9"/>
      <c r="M74" s="9"/>
      <c r="N74" s="15" t="str">
        <f aca="false">IF(A74="","",(J74="Sí")*3+(K74="Sí")*2+(L74="Sí")*2+(M74="Sí")*2+(N(H74)&gt;=50)*1)</f>
        <v/>
      </c>
      <c r="O74" s="15" t="str">
        <f aca="false">IF(N74="","",IF(N74&gt;=6,"ALTA",IF(N74&gt;=3,"MEDIA","BAJA")))</f>
        <v/>
      </c>
      <c r="P74" s="9"/>
      <c r="Q74" s="13"/>
      <c r="R74" s="9"/>
      <c r="S74" s="14"/>
      <c r="T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10"/>
      <c r="J75" s="9"/>
      <c r="K75" s="9"/>
      <c r="L75" s="9"/>
      <c r="M75" s="9"/>
      <c r="N75" s="15" t="str">
        <f aca="false">IF(A75="","",(J75="Sí")*3+(K75="Sí")*2+(L75="Sí")*2+(M75="Sí")*2+(N(H75)&gt;=50)*1)</f>
        <v/>
      </c>
      <c r="O75" s="15" t="str">
        <f aca="false">IF(N75="","",IF(N75&gt;=6,"ALTA",IF(N75&gt;=3,"MEDIA","BAJA")))</f>
        <v/>
      </c>
      <c r="P75" s="9"/>
      <c r="Q75" s="13"/>
      <c r="R75" s="9"/>
      <c r="S75" s="14"/>
      <c r="T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10"/>
      <c r="J76" s="9"/>
      <c r="K76" s="9"/>
      <c r="L76" s="9"/>
      <c r="M76" s="9"/>
      <c r="N76" s="15" t="str">
        <f aca="false">IF(A76="","",(J76="Sí")*3+(K76="Sí")*2+(L76="Sí")*2+(M76="Sí")*2+(N(H76)&gt;=50)*1)</f>
        <v/>
      </c>
      <c r="O76" s="15" t="str">
        <f aca="false">IF(N76="","",IF(N76&gt;=6,"ALTA",IF(N76&gt;=3,"MEDIA","BAJA")))</f>
        <v/>
      </c>
      <c r="P76" s="9"/>
      <c r="Q76" s="13"/>
      <c r="R76" s="9"/>
      <c r="S76" s="14"/>
      <c r="T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10"/>
      <c r="J77" s="9"/>
      <c r="K77" s="9"/>
      <c r="L77" s="9"/>
      <c r="M77" s="9"/>
      <c r="N77" s="15" t="str">
        <f aca="false">IF(A77="","",(J77="Sí")*3+(K77="Sí")*2+(L77="Sí")*2+(M77="Sí")*2+(N(H77)&gt;=50)*1)</f>
        <v/>
      </c>
      <c r="O77" s="15" t="str">
        <f aca="false">IF(N77="","",IF(N77&gt;=6,"ALTA",IF(N77&gt;=3,"MEDIA","BAJA")))</f>
        <v/>
      </c>
      <c r="P77" s="9"/>
      <c r="Q77" s="13"/>
      <c r="R77" s="9"/>
      <c r="S77" s="14"/>
      <c r="T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10"/>
      <c r="J78" s="9"/>
      <c r="K78" s="9"/>
      <c r="L78" s="9"/>
      <c r="M78" s="9"/>
      <c r="N78" s="15" t="str">
        <f aca="false">IF(A78="","",(J78="Sí")*3+(K78="Sí")*2+(L78="Sí")*2+(M78="Sí")*2+(N(H78)&gt;=50)*1)</f>
        <v/>
      </c>
      <c r="O78" s="15" t="str">
        <f aca="false">IF(N78="","",IF(N78&gt;=6,"ALTA",IF(N78&gt;=3,"MEDIA","BAJA")))</f>
        <v/>
      </c>
      <c r="P78" s="9"/>
      <c r="Q78" s="13"/>
      <c r="R78" s="9"/>
      <c r="S78" s="14"/>
      <c r="T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15" t="str">
        <f aca="false">IF(A79="","",(J79="Sí")*3+(K79="Sí")*2+(L79="Sí")*2+(M79="Sí")*2+(N(H79)&gt;=50)*1)</f>
        <v/>
      </c>
      <c r="O79" s="15" t="str">
        <f aca="false">IF(N79="","",IF(N79&gt;=6,"ALTA",IF(N79&gt;=3,"MEDIA","BAJA")))</f>
        <v/>
      </c>
      <c r="P79" s="9"/>
      <c r="Q79" s="13"/>
      <c r="R79" s="9"/>
      <c r="S79" s="14"/>
      <c r="T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10"/>
      <c r="J80" s="9"/>
      <c r="K80" s="9"/>
      <c r="L80" s="9"/>
      <c r="M80" s="9"/>
      <c r="N80" s="15" t="str">
        <f aca="false">IF(A80="","",(J80="Sí")*3+(K80="Sí")*2+(L80="Sí")*2+(M80="Sí")*2+(N(H80)&gt;=50)*1)</f>
        <v/>
      </c>
      <c r="O80" s="15" t="str">
        <f aca="false">IF(N80="","",IF(N80&gt;=6,"ALTA",IF(N80&gt;=3,"MEDIA","BAJA")))</f>
        <v/>
      </c>
      <c r="P80" s="9"/>
      <c r="Q80" s="13"/>
      <c r="R80" s="9"/>
      <c r="S80" s="14"/>
      <c r="T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10"/>
      <c r="J81" s="9"/>
      <c r="K81" s="9"/>
      <c r="L81" s="9"/>
      <c r="M81" s="9"/>
      <c r="N81" s="15" t="str">
        <f aca="false">IF(A81="","",(J81="Sí")*3+(K81="Sí")*2+(L81="Sí")*2+(M81="Sí")*2+(N(H81)&gt;=50)*1)</f>
        <v/>
      </c>
      <c r="O81" s="15" t="str">
        <f aca="false">IF(N81="","",IF(N81&gt;=6,"ALTA",IF(N81&gt;=3,"MEDIA","BAJA")))</f>
        <v/>
      </c>
      <c r="P81" s="9"/>
      <c r="Q81" s="13"/>
      <c r="R81" s="9"/>
      <c r="S81" s="14"/>
      <c r="T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10"/>
      <c r="J82" s="9"/>
      <c r="K82" s="9"/>
      <c r="L82" s="9"/>
      <c r="M82" s="9"/>
      <c r="N82" s="15" t="str">
        <f aca="false">IF(A82="","",(J82="Sí")*3+(K82="Sí")*2+(L82="Sí")*2+(M82="Sí")*2+(N(H82)&gt;=50)*1)</f>
        <v/>
      </c>
      <c r="O82" s="15" t="str">
        <f aca="false">IF(N82="","",IF(N82&gt;=6,"ALTA",IF(N82&gt;=3,"MEDIA","BAJA")))</f>
        <v/>
      </c>
      <c r="P82" s="9"/>
      <c r="Q82" s="13"/>
      <c r="R82" s="9"/>
      <c r="S82" s="14"/>
      <c r="T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10"/>
      <c r="J83" s="9"/>
      <c r="K83" s="9"/>
      <c r="L83" s="9"/>
      <c r="M83" s="9"/>
      <c r="N83" s="15" t="str">
        <f aca="false">IF(A83="","",(J83="Sí")*3+(K83="Sí")*2+(L83="Sí")*2+(M83="Sí")*2+(N(H83)&gt;=50)*1)</f>
        <v/>
      </c>
      <c r="O83" s="15" t="str">
        <f aca="false">IF(N83="","",IF(N83&gt;=6,"ALTA",IF(N83&gt;=3,"MEDIA","BAJA")))</f>
        <v/>
      </c>
      <c r="P83" s="9"/>
      <c r="Q83" s="13"/>
      <c r="R83" s="9"/>
      <c r="S83" s="14"/>
      <c r="T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10"/>
      <c r="J84" s="9"/>
      <c r="K84" s="9"/>
      <c r="L84" s="9"/>
      <c r="M84" s="9"/>
      <c r="N84" s="15" t="str">
        <f aca="false">IF(A84="","",(J84="Sí")*3+(K84="Sí")*2+(L84="Sí")*2+(M84="Sí")*2+(N(H84)&gt;=50)*1)</f>
        <v/>
      </c>
      <c r="O84" s="15" t="str">
        <f aca="false">IF(N84="","",IF(N84&gt;=6,"ALTA",IF(N84&gt;=3,"MEDIA","BAJA")))</f>
        <v/>
      </c>
      <c r="P84" s="9"/>
      <c r="Q84" s="13"/>
      <c r="R84" s="9"/>
      <c r="S84" s="14"/>
      <c r="T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10"/>
      <c r="J85" s="9"/>
      <c r="K85" s="9"/>
      <c r="L85" s="9"/>
      <c r="M85" s="9"/>
      <c r="N85" s="15" t="str">
        <f aca="false">IF(A85="","",(J85="Sí")*3+(K85="Sí")*2+(L85="Sí")*2+(M85="Sí")*2+(N(H85)&gt;=50)*1)</f>
        <v/>
      </c>
      <c r="O85" s="15" t="str">
        <f aca="false">IF(N85="","",IF(N85&gt;=6,"ALTA",IF(N85&gt;=3,"MEDIA","BAJA")))</f>
        <v/>
      </c>
      <c r="P85" s="9"/>
      <c r="Q85" s="13"/>
      <c r="R85" s="9"/>
      <c r="S85" s="14"/>
      <c r="T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10"/>
      <c r="J86" s="9"/>
      <c r="K86" s="9"/>
      <c r="L86" s="9"/>
      <c r="M86" s="9"/>
      <c r="N86" s="15" t="str">
        <f aca="false">IF(A86="","",(J86="Sí")*3+(K86="Sí")*2+(L86="Sí")*2+(M86="Sí")*2+(N(H86)&gt;=50)*1)</f>
        <v/>
      </c>
      <c r="O86" s="15" t="str">
        <f aca="false">IF(N86="","",IF(N86&gt;=6,"ALTA",IF(N86&gt;=3,"MEDIA","BAJA")))</f>
        <v/>
      </c>
      <c r="P86" s="9"/>
      <c r="Q86" s="13"/>
      <c r="R86" s="9"/>
      <c r="S86" s="14"/>
      <c r="T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10"/>
      <c r="J87" s="9"/>
      <c r="K87" s="9"/>
      <c r="L87" s="9"/>
      <c r="M87" s="9"/>
      <c r="N87" s="15" t="str">
        <f aca="false">IF(A87="","",(J87="Sí")*3+(K87="Sí")*2+(L87="Sí")*2+(M87="Sí")*2+(N(H87)&gt;=50)*1)</f>
        <v/>
      </c>
      <c r="O87" s="15" t="str">
        <f aca="false">IF(N87="","",IF(N87&gt;=6,"ALTA",IF(N87&gt;=3,"MEDIA","BAJA")))</f>
        <v/>
      </c>
      <c r="P87" s="9"/>
      <c r="Q87" s="13"/>
      <c r="R87" s="9"/>
      <c r="S87" s="14"/>
      <c r="T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10"/>
      <c r="J88" s="9"/>
      <c r="K88" s="9"/>
      <c r="L88" s="9"/>
      <c r="M88" s="9"/>
      <c r="N88" s="15" t="str">
        <f aca="false">IF(A88="","",(J88="Sí")*3+(K88="Sí")*2+(L88="Sí")*2+(M88="Sí")*2+(N(H88)&gt;=50)*1)</f>
        <v/>
      </c>
      <c r="O88" s="15" t="str">
        <f aca="false">IF(N88="","",IF(N88&gt;=6,"ALTA",IF(N88&gt;=3,"MEDIA","BAJA")))</f>
        <v/>
      </c>
      <c r="P88" s="9"/>
      <c r="Q88" s="13"/>
      <c r="R88" s="9"/>
      <c r="S88" s="14"/>
      <c r="T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10"/>
      <c r="J89" s="9"/>
      <c r="K89" s="9"/>
      <c r="L89" s="9"/>
      <c r="M89" s="9"/>
      <c r="N89" s="15" t="str">
        <f aca="false">IF(A89="","",(J89="Sí")*3+(K89="Sí")*2+(L89="Sí")*2+(M89="Sí")*2+(N(H89)&gt;=50)*1)</f>
        <v/>
      </c>
      <c r="O89" s="15" t="str">
        <f aca="false">IF(N89="","",IF(N89&gt;=6,"ALTA",IF(N89&gt;=3,"MEDIA","BAJA")))</f>
        <v/>
      </c>
      <c r="P89" s="9"/>
      <c r="Q89" s="13"/>
      <c r="R89" s="9"/>
      <c r="S89" s="14"/>
      <c r="T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10"/>
      <c r="J90" s="9"/>
      <c r="K90" s="9"/>
      <c r="L90" s="9"/>
      <c r="M90" s="9"/>
      <c r="N90" s="15" t="str">
        <f aca="false">IF(A90="","",(J90="Sí")*3+(K90="Sí")*2+(L90="Sí")*2+(M90="Sí")*2+(N(H90)&gt;=50)*1)</f>
        <v/>
      </c>
      <c r="O90" s="15" t="str">
        <f aca="false">IF(N90="","",IF(N90&gt;=6,"ALTA",IF(N90&gt;=3,"MEDIA","BAJA")))</f>
        <v/>
      </c>
      <c r="P90" s="9"/>
      <c r="Q90" s="13"/>
      <c r="R90" s="9"/>
      <c r="S90" s="14"/>
      <c r="T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10"/>
      <c r="J91" s="9"/>
      <c r="K91" s="9"/>
      <c r="L91" s="9"/>
      <c r="M91" s="9"/>
      <c r="N91" s="15" t="str">
        <f aca="false">IF(A91="","",(J91="Sí")*3+(K91="Sí")*2+(L91="Sí")*2+(M91="Sí")*2+(N(H91)&gt;=50)*1)</f>
        <v/>
      </c>
      <c r="O91" s="15" t="str">
        <f aca="false">IF(N91="","",IF(N91&gt;=6,"ALTA",IF(N91&gt;=3,"MEDIA","BAJA")))</f>
        <v/>
      </c>
      <c r="P91" s="9"/>
      <c r="Q91" s="13"/>
      <c r="R91" s="9"/>
      <c r="S91" s="14"/>
      <c r="T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10"/>
      <c r="J92" s="9"/>
      <c r="K92" s="9"/>
      <c r="L92" s="9"/>
      <c r="M92" s="9"/>
      <c r="N92" s="15" t="str">
        <f aca="false">IF(A92="","",(J92="Sí")*3+(K92="Sí")*2+(L92="Sí")*2+(M92="Sí")*2+(N(H92)&gt;=50)*1)</f>
        <v/>
      </c>
      <c r="O92" s="15" t="str">
        <f aca="false">IF(N92="","",IF(N92&gt;=6,"ALTA",IF(N92&gt;=3,"MEDIA","BAJA")))</f>
        <v/>
      </c>
      <c r="P92" s="9"/>
      <c r="Q92" s="13"/>
      <c r="R92" s="9"/>
      <c r="S92" s="14"/>
      <c r="T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10"/>
      <c r="J93" s="9"/>
      <c r="K93" s="9"/>
      <c r="L93" s="9"/>
      <c r="M93" s="9"/>
      <c r="N93" s="15" t="str">
        <f aca="false">IF(A93="","",(J93="Sí")*3+(K93="Sí")*2+(L93="Sí")*2+(M93="Sí")*2+(N(H93)&gt;=50)*1)</f>
        <v/>
      </c>
      <c r="O93" s="15" t="str">
        <f aca="false">IF(N93="","",IF(N93&gt;=6,"ALTA",IF(N93&gt;=3,"MEDIA","BAJA")))</f>
        <v/>
      </c>
      <c r="P93" s="9"/>
      <c r="Q93" s="13"/>
      <c r="R93" s="9"/>
      <c r="S93" s="14"/>
      <c r="T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10"/>
      <c r="J94" s="9"/>
      <c r="K94" s="9"/>
      <c r="L94" s="9"/>
      <c r="M94" s="9"/>
      <c r="N94" s="15" t="str">
        <f aca="false">IF(A94="","",(J94="Sí")*3+(K94="Sí")*2+(L94="Sí")*2+(M94="Sí")*2+(N(H94)&gt;=50)*1)</f>
        <v/>
      </c>
      <c r="O94" s="15" t="str">
        <f aca="false">IF(N94="","",IF(N94&gt;=6,"ALTA",IF(N94&gt;=3,"MEDIA","BAJA")))</f>
        <v/>
      </c>
      <c r="P94" s="9"/>
      <c r="Q94" s="13"/>
      <c r="R94" s="9"/>
      <c r="S94" s="14"/>
      <c r="T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10"/>
      <c r="J95" s="9"/>
      <c r="K95" s="9"/>
      <c r="L95" s="9"/>
      <c r="M95" s="9"/>
      <c r="N95" s="15" t="str">
        <f aca="false">IF(A95="","",(J95="Sí")*3+(K95="Sí")*2+(L95="Sí")*2+(M95="Sí")*2+(N(H95)&gt;=50)*1)</f>
        <v/>
      </c>
      <c r="O95" s="15" t="str">
        <f aca="false">IF(N95="","",IF(N95&gt;=6,"ALTA",IF(N95&gt;=3,"MEDIA","BAJA")))</f>
        <v/>
      </c>
      <c r="P95" s="9"/>
      <c r="Q95" s="13"/>
      <c r="R95" s="9"/>
      <c r="S95" s="14"/>
      <c r="T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10"/>
      <c r="J96" s="9"/>
      <c r="K96" s="9"/>
      <c r="L96" s="9"/>
      <c r="M96" s="9"/>
      <c r="N96" s="15" t="str">
        <f aca="false">IF(A96="","",(J96="Sí")*3+(K96="Sí")*2+(L96="Sí")*2+(M96="Sí")*2+(N(H96)&gt;=50)*1)</f>
        <v/>
      </c>
      <c r="O96" s="15" t="str">
        <f aca="false">IF(N96="","",IF(N96&gt;=6,"ALTA",IF(N96&gt;=3,"MEDIA","BAJA")))</f>
        <v/>
      </c>
      <c r="P96" s="9"/>
      <c r="Q96" s="13"/>
      <c r="R96" s="9"/>
      <c r="S96" s="14"/>
      <c r="T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10"/>
      <c r="J97" s="9"/>
      <c r="K97" s="9"/>
      <c r="L97" s="9"/>
      <c r="M97" s="9"/>
      <c r="N97" s="15" t="str">
        <f aca="false">IF(A97="","",(J97="Sí")*3+(K97="Sí")*2+(L97="Sí")*2+(M97="Sí")*2+(N(H97)&gt;=50)*1)</f>
        <v/>
      </c>
      <c r="O97" s="15" t="str">
        <f aca="false">IF(N97="","",IF(N97&gt;=6,"ALTA",IF(N97&gt;=3,"MEDIA","BAJA")))</f>
        <v/>
      </c>
      <c r="P97" s="9"/>
      <c r="Q97" s="13"/>
      <c r="R97" s="9"/>
      <c r="S97" s="14"/>
      <c r="T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10"/>
      <c r="J98" s="9"/>
      <c r="K98" s="9"/>
      <c r="L98" s="9"/>
      <c r="M98" s="9"/>
      <c r="N98" s="15" t="str">
        <f aca="false">IF(A98="","",(J98="Sí")*3+(K98="Sí")*2+(L98="Sí")*2+(M98="Sí")*2+(N(H98)&gt;=50)*1)</f>
        <v/>
      </c>
      <c r="O98" s="15" t="str">
        <f aca="false">IF(N98="","",IF(N98&gt;=6,"ALTA",IF(N98&gt;=3,"MEDIA","BAJA")))</f>
        <v/>
      </c>
      <c r="P98" s="9"/>
      <c r="Q98" s="13"/>
      <c r="R98" s="9"/>
      <c r="S98" s="14"/>
      <c r="T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10"/>
      <c r="J99" s="9"/>
      <c r="K99" s="9"/>
      <c r="L99" s="9"/>
      <c r="M99" s="9"/>
      <c r="N99" s="15" t="str">
        <f aca="false">IF(A99="","",(J99="Sí")*3+(K99="Sí")*2+(L99="Sí")*2+(M99="Sí")*2+(N(H99)&gt;=50)*1)</f>
        <v/>
      </c>
      <c r="O99" s="15" t="str">
        <f aca="false">IF(N99="","",IF(N99&gt;=6,"ALTA",IF(N99&gt;=3,"MEDIA","BAJA")))</f>
        <v/>
      </c>
      <c r="P99" s="9"/>
      <c r="Q99" s="13"/>
      <c r="R99" s="9"/>
      <c r="S99" s="14"/>
      <c r="T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10"/>
      <c r="J100" s="9"/>
      <c r="K100" s="9"/>
      <c r="L100" s="9"/>
      <c r="M100" s="9"/>
      <c r="N100" s="15" t="str">
        <f aca="false">IF(A100="","",(J100="Sí")*3+(K100="Sí")*2+(L100="Sí")*2+(M100="Sí")*2+(N(H100)&gt;=50)*1)</f>
        <v/>
      </c>
      <c r="O100" s="15" t="str">
        <f aca="false">IF(N100="","",IF(N100&gt;=6,"ALTA",IF(N100&gt;=3,"MEDIA","BAJA")))</f>
        <v/>
      </c>
      <c r="P100" s="9"/>
      <c r="Q100" s="13"/>
      <c r="R100" s="9"/>
      <c r="S100" s="14"/>
      <c r="T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10"/>
      <c r="J101" s="9"/>
      <c r="K101" s="9"/>
      <c r="L101" s="9"/>
      <c r="M101" s="9"/>
      <c r="N101" s="15" t="str">
        <f aca="false">IF(A101="","",(J101="Sí")*3+(K101="Sí")*2+(L101="Sí")*2+(M101="Sí")*2+(N(H101)&gt;=50)*1)</f>
        <v/>
      </c>
      <c r="O101" s="15" t="str">
        <f aca="false">IF(N101="","",IF(N101&gt;=6,"ALTA",IF(N101&gt;=3,"MEDIA","BAJA")))</f>
        <v/>
      </c>
      <c r="P101" s="9"/>
      <c r="Q101" s="13"/>
      <c r="R101" s="9"/>
      <c r="S101" s="14"/>
      <c r="T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10"/>
      <c r="J102" s="9"/>
      <c r="K102" s="9"/>
      <c r="L102" s="9"/>
      <c r="M102" s="9"/>
      <c r="N102" s="15" t="str">
        <f aca="false">IF(A102="","",(J102="Sí")*3+(K102="Sí")*2+(L102="Sí")*2+(M102="Sí")*2+(N(H102)&gt;=50)*1)</f>
        <v/>
      </c>
      <c r="O102" s="15" t="str">
        <f aca="false">IF(N102="","",IF(N102&gt;=6,"ALTA",IF(N102&gt;=3,"MEDIA","BAJA")))</f>
        <v/>
      </c>
      <c r="P102" s="9"/>
      <c r="Q102" s="13"/>
      <c r="R102" s="9"/>
      <c r="S102" s="14"/>
      <c r="T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10"/>
      <c r="J103" s="9"/>
      <c r="K103" s="9"/>
      <c r="L103" s="9"/>
      <c r="M103" s="9"/>
      <c r="N103" s="15" t="str">
        <f aca="false">IF(A103="","",(J103="Sí")*3+(K103="Sí")*2+(L103="Sí")*2+(M103="Sí")*2+(N(H103)&gt;=50)*1)</f>
        <v/>
      </c>
      <c r="O103" s="15" t="str">
        <f aca="false">IF(N103="","",IF(N103&gt;=6,"ALTA",IF(N103&gt;=3,"MEDIA","BAJA")))</f>
        <v/>
      </c>
      <c r="P103" s="9"/>
      <c r="Q103" s="13"/>
      <c r="R103" s="9"/>
      <c r="S103" s="14"/>
      <c r="T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10"/>
      <c r="J104" s="9"/>
      <c r="K104" s="9"/>
      <c r="L104" s="9"/>
      <c r="M104" s="9"/>
      <c r="N104" s="15" t="str">
        <f aca="false">IF(A104="","",(J104="Sí")*3+(K104="Sí")*2+(L104="Sí")*2+(M104="Sí")*2+(N(H104)&gt;=50)*1)</f>
        <v/>
      </c>
      <c r="O104" s="15" t="str">
        <f aca="false">IF(N104="","",IF(N104&gt;=6,"ALTA",IF(N104&gt;=3,"MEDIA","BAJA")))</f>
        <v/>
      </c>
      <c r="P104" s="9"/>
      <c r="Q104" s="13"/>
      <c r="R104" s="9"/>
      <c r="S104" s="14"/>
      <c r="T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10"/>
      <c r="J105" s="9"/>
      <c r="K105" s="9"/>
      <c r="L105" s="9"/>
      <c r="M105" s="9"/>
      <c r="N105" s="15" t="str">
        <f aca="false">IF(A105="","",(J105="Sí")*3+(K105="Sí")*2+(L105="Sí")*2+(M105="Sí")*2+(N(H105)&gt;=50)*1)</f>
        <v/>
      </c>
      <c r="O105" s="15" t="str">
        <f aca="false">IF(N105="","",IF(N105&gt;=6,"ALTA",IF(N105&gt;=3,"MEDIA","BAJA")))</f>
        <v/>
      </c>
      <c r="P105" s="9"/>
      <c r="Q105" s="13"/>
      <c r="R105" s="9"/>
      <c r="S105" s="14"/>
      <c r="T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10"/>
      <c r="J106" s="9"/>
      <c r="K106" s="9"/>
      <c r="L106" s="9"/>
      <c r="M106" s="9"/>
      <c r="N106" s="15" t="str">
        <f aca="false">IF(A106="","",(J106="Sí")*3+(K106="Sí")*2+(L106="Sí")*2+(M106="Sí")*2+(N(H106)&gt;=50)*1)</f>
        <v/>
      </c>
      <c r="O106" s="15" t="str">
        <f aca="false">IF(N106="","",IF(N106&gt;=6,"ALTA",IF(N106&gt;=3,"MEDIA","BAJA")))</f>
        <v/>
      </c>
      <c r="P106" s="9"/>
      <c r="Q106" s="13"/>
      <c r="R106" s="9"/>
      <c r="S106" s="14"/>
      <c r="T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10"/>
      <c r="J107" s="9"/>
      <c r="K107" s="9"/>
      <c r="L107" s="9"/>
      <c r="M107" s="9"/>
      <c r="N107" s="15" t="str">
        <f aca="false">IF(A107="","",(J107="Sí")*3+(K107="Sí")*2+(L107="Sí")*2+(M107="Sí")*2+(N(H107)&gt;=50)*1)</f>
        <v/>
      </c>
      <c r="O107" s="15" t="str">
        <f aca="false">IF(N107="","",IF(N107&gt;=6,"ALTA",IF(N107&gt;=3,"MEDIA","BAJA")))</f>
        <v/>
      </c>
      <c r="P107" s="9"/>
      <c r="Q107" s="13"/>
      <c r="R107" s="9"/>
      <c r="S107" s="14"/>
      <c r="T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10"/>
      <c r="J108" s="9"/>
      <c r="K108" s="9"/>
      <c r="L108" s="9"/>
      <c r="M108" s="9"/>
      <c r="N108" s="15" t="str">
        <f aca="false">IF(A108="","",(J108="Sí")*3+(K108="Sí")*2+(L108="Sí")*2+(M108="Sí")*2+(N(H108)&gt;=50)*1)</f>
        <v/>
      </c>
      <c r="O108" s="15" t="str">
        <f aca="false">IF(N108="","",IF(N108&gt;=6,"ALTA",IF(N108&gt;=3,"MEDIA","BAJA")))</f>
        <v/>
      </c>
      <c r="P108" s="9"/>
      <c r="Q108" s="13"/>
      <c r="R108" s="9"/>
      <c r="S108" s="14"/>
      <c r="T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10"/>
      <c r="J109" s="9"/>
      <c r="K109" s="9"/>
      <c r="L109" s="9"/>
      <c r="M109" s="9"/>
      <c r="N109" s="15" t="str">
        <f aca="false">IF(A109="","",(J109="Sí")*3+(K109="Sí")*2+(L109="Sí")*2+(M109="Sí")*2+(N(H109)&gt;=50)*1)</f>
        <v/>
      </c>
      <c r="O109" s="15" t="str">
        <f aca="false">IF(N109="","",IF(N109&gt;=6,"ALTA",IF(N109&gt;=3,"MEDIA","BAJA")))</f>
        <v/>
      </c>
      <c r="P109" s="9"/>
      <c r="Q109" s="13"/>
      <c r="R109" s="9"/>
      <c r="S109" s="14"/>
      <c r="T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10"/>
      <c r="J110" s="9"/>
      <c r="K110" s="9"/>
      <c r="L110" s="9"/>
      <c r="M110" s="9"/>
      <c r="N110" s="15" t="str">
        <f aca="false">IF(A110="","",(J110="Sí")*3+(K110="Sí")*2+(L110="Sí")*2+(M110="Sí")*2+(N(H110)&gt;=50)*1)</f>
        <v/>
      </c>
      <c r="O110" s="15" t="str">
        <f aca="false">IF(N110="","",IF(N110&gt;=6,"ALTA",IF(N110&gt;=3,"MEDIA","BAJA")))</f>
        <v/>
      </c>
      <c r="P110" s="9"/>
      <c r="Q110" s="13"/>
      <c r="R110" s="9"/>
      <c r="S110" s="14"/>
      <c r="T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10"/>
      <c r="J111" s="9"/>
      <c r="K111" s="9"/>
      <c r="L111" s="9"/>
      <c r="M111" s="9"/>
      <c r="N111" s="15" t="str">
        <f aca="false">IF(A111="","",(J111="Sí")*3+(K111="Sí")*2+(L111="Sí")*2+(M111="Sí")*2+(N(H111)&gt;=50)*1)</f>
        <v/>
      </c>
      <c r="O111" s="15" t="str">
        <f aca="false">IF(N111="","",IF(N111&gt;=6,"ALTA",IF(N111&gt;=3,"MEDIA","BAJA")))</f>
        <v/>
      </c>
      <c r="P111" s="9"/>
      <c r="Q111" s="13"/>
      <c r="R111" s="9"/>
      <c r="S111" s="14"/>
      <c r="T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10"/>
      <c r="J112" s="9"/>
      <c r="K112" s="9"/>
      <c r="L112" s="9"/>
      <c r="M112" s="9"/>
      <c r="N112" s="15" t="str">
        <f aca="false">IF(A112="","",(J112="Sí")*3+(K112="Sí")*2+(L112="Sí")*2+(M112="Sí")*2+(N(H112)&gt;=50)*1)</f>
        <v/>
      </c>
      <c r="O112" s="15" t="str">
        <f aca="false">IF(N112="","",IF(N112&gt;=6,"ALTA",IF(N112&gt;=3,"MEDIA","BAJA")))</f>
        <v/>
      </c>
      <c r="P112" s="9"/>
      <c r="Q112" s="13"/>
      <c r="R112" s="9"/>
      <c r="S112" s="14"/>
      <c r="T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10"/>
      <c r="J113" s="9"/>
      <c r="K113" s="9"/>
      <c r="L113" s="9"/>
      <c r="M113" s="9"/>
      <c r="N113" s="15" t="str">
        <f aca="false">IF(A113="","",(J113="Sí")*3+(K113="Sí")*2+(L113="Sí")*2+(M113="Sí")*2+(N(H113)&gt;=50)*1)</f>
        <v/>
      </c>
      <c r="O113" s="15" t="str">
        <f aca="false">IF(N113="","",IF(N113&gt;=6,"ALTA",IF(N113&gt;=3,"MEDIA","BAJA")))</f>
        <v/>
      </c>
      <c r="P113" s="9"/>
      <c r="Q113" s="13"/>
      <c r="R113" s="9"/>
      <c r="S113" s="14"/>
      <c r="T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10"/>
      <c r="J114" s="9"/>
      <c r="K114" s="9"/>
      <c r="L114" s="9"/>
      <c r="M114" s="9"/>
      <c r="N114" s="15" t="str">
        <f aca="false">IF(A114="","",(J114="Sí")*3+(K114="Sí")*2+(L114="Sí")*2+(M114="Sí")*2+(N(H114)&gt;=50)*1)</f>
        <v/>
      </c>
      <c r="O114" s="15" t="str">
        <f aca="false">IF(N114="","",IF(N114&gt;=6,"ALTA",IF(N114&gt;=3,"MEDIA","BAJA")))</f>
        <v/>
      </c>
      <c r="P114" s="9"/>
      <c r="Q114" s="13"/>
      <c r="R114" s="9"/>
      <c r="S114" s="14"/>
      <c r="T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10"/>
      <c r="J115" s="9"/>
      <c r="K115" s="9"/>
      <c r="L115" s="9"/>
      <c r="M115" s="9"/>
      <c r="N115" s="15" t="str">
        <f aca="false">IF(A115="","",(J115="Sí")*3+(K115="Sí")*2+(L115="Sí")*2+(M115="Sí")*2+(N(H115)&gt;=50)*1)</f>
        <v/>
      </c>
      <c r="O115" s="15" t="str">
        <f aca="false">IF(N115="","",IF(N115&gt;=6,"ALTA",IF(N115&gt;=3,"MEDIA","BAJA")))</f>
        <v/>
      </c>
      <c r="P115" s="9"/>
      <c r="Q115" s="13"/>
      <c r="R115" s="9"/>
      <c r="S115" s="14"/>
      <c r="T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10"/>
      <c r="J116" s="9"/>
      <c r="K116" s="9"/>
      <c r="L116" s="9"/>
      <c r="M116" s="9"/>
      <c r="N116" s="15" t="str">
        <f aca="false">IF(A116="","",(J116="Sí")*3+(K116="Sí")*2+(L116="Sí")*2+(M116="Sí")*2+(N(H116)&gt;=50)*1)</f>
        <v/>
      </c>
      <c r="O116" s="15" t="str">
        <f aca="false">IF(N116="","",IF(N116&gt;=6,"ALTA",IF(N116&gt;=3,"MEDIA","BAJA")))</f>
        <v/>
      </c>
      <c r="P116" s="9"/>
      <c r="Q116" s="13"/>
      <c r="R116" s="9"/>
      <c r="S116" s="14"/>
      <c r="T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10"/>
      <c r="J117" s="9"/>
      <c r="K117" s="9"/>
      <c r="L117" s="9"/>
      <c r="M117" s="9"/>
      <c r="N117" s="15" t="str">
        <f aca="false">IF(A117="","",(J117="Sí")*3+(K117="Sí")*2+(L117="Sí")*2+(M117="Sí")*2+(N(H117)&gt;=50)*1)</f>
        <v/>
      </c>
      <c r="O117" s="15" t="str">
        <f aca="false">IF(N117="","",IF(N117&gt;=6,"ALTA",IF(N117&gt;=3,"MEDIA","BAJA")))</f>
        <v/>
      </c>
      <c r="P117" s="9"/>
      <c r="Q117" s="13"/>
      <c r="R117" s="9"/>
      <c r="S117" s="14"/>
      <c r="T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10"/>
      <c r="J118" s="9"/>
      <c r="K118" s="9"/>
      <c r="L118" s="9"/>
      <c r="M118" s="9"/>
      <c r="N118" s="15" t="str">
        <f aca="false">IF(A118="","",(J118="Sí")*3+(K118="Sí")*2+(L118="Sí")*2+(M118="Sí")*2+(N(H118)&gt;=50)*1)</f>
        <v/>
      </c>
      <c r="O118" s="15" t="str">
        <f aca="false">IF(N118="","",IF(N118&gt;=6,"ALTA",IF(N118&gt;=3,"MEDIA","BAJA")))</f>
        <v/>
      </c>
      <c r="P118" s="9"/>
      <c r="Q118" s="13"/>
      <c r="R118" s="9"/>
      <c r="S118" s="14"/>
      <c r="T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10"/>
      <c r="J119" s="9"/>
      <c r="K119" s="9"/>
      <c r="L119" s="9"/>
      <c r="M119" s="9"/>
      <c r="N119" s="15" t="str">
        <f aca="false">IF(A119="","",(J119="Sí")*3+(K119="Sí")*2+(L119="Sí")*2+(M119="Sí")*2+(N(H119)&gt;=50)*1)</f>
        <v/>
      </c>
      <c r="O119" s="15" t="str">
        <f aca="false">IF(N119="","",IF(N119&gt;=6,"ALTA",IF(N119&gt;=3,"MEDIA","BAJA")))</f>
        <v/>
      </c>
      <c r="P119" s="9"/>
      <c r="Q119" s="13"/>
      <c r="R119" s="9"/>
      <c r="S119" s="14"/>
      <c r="T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10"/>
      <c r="J120" s="9"/>
      <c r="K120" s="9"/>
      <c r="L120" s="9"/>
      <c r="M120" s="9"/>
      <c r="N120" s="15" t="str">
        <f aca="false">IF(A120="","",(J120="Sí")*3+(K120="Sí")*2+(L120="Sí")*2+(M120="Sí")*2+(N(H120)&gt;=50)*1)</f>
        <v/>
      </c>
      <c r="O120" s="15" t="str">
        <f aca="false">IF(N120="","",IF(N120&gt;=6,"ALTA",IF(N120&gt;=3,"MEDIA","BAJA")))</f>
        <v/>
      </c>
      <c r="P120" s="9"/>
      <c r="Q120" s="13"/>
      <c r="R120" s="9"/>
      <c r="S120" s="14"/>
      <c r="T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10"/>
      <c r="J121" s="9"/>
      <c r="K121" s="9"/>
      <c r="L121" s="9"/>
      <c r="M121" s="9"/>
      <c r="N121" s="15" t="str">
        <f aca="false">IF(A121="","",(J121="Sí")*3+(K121="Sí")*2+(L121="Sí")*2+(M121="Sí")*2+(N(H121)&gt;=50)*1)</f>
        <v/>
      </c>
      <c r="O121" s="15" t="str">
        <f aca="false">IF(N121="","",IF(N121&gt;=6,"ALTA",IF(N121&gt;=3,"MEDIA","BAJA")))</f>
        <v/>
      </c>
      <c r="P121" s="9"/>
      <c r="Q121" s="13"/>
      <c r="R121" s="9"/>
      <c r="S121" s="14"/>
      <c r="T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10"/>
      <c r="J122" s="9"/>
      <c r="K122" s="9"/>
      <c r="L122" s="9"/>
      <c r="M122" s="9"/>
      <c r="N122" s="15" t="str">
        <f aca="false">IF(A122="","",(J122="Sí")*3+(K122="Sí")*2+(L122="Sí")*2+(M122="Sí")*2+(N(H122)&gt;=50)*1)</f>
        <v/>
      </c>
      <c r="O122" s="15" t="str">
        <f aca="false">IF(N122="","",IF(N122&gt;=6,"ALTA",IF(N122&gt;=3,"MEDIA","BAJA")))</f>
        <v/>
      </c>
      <c r="P122" s="9"/>
      <c r="Q122" s="13"/>
      <c r="R122" s="9"/>
      <c r="S122" s="14"/>
      <c r="T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10"/>
      <c r="J123" s="9"/>
      <c r="K123" s="9"/>
      <c r="L123" s="9"/>
      <c r="M123" s="9"/>
      <c r="N123" s="15" t="str">
        <f aca="false">IF(A123="","",(J123="Sí")*3+(K123="Sí")*2+(L123="Sí")*2+(M123="Sí")*2+(N(H123)&gt;=50)*1)</f>
        <v/>
      </c>
      <c r="O123" s="15" t="str">
        <f aca="false">IF(N123="","",IF(N123&gt;=6,"ALTA",IF(N123&gt;=3,"MEDIA","BAJA")))</f>
        <v/>
      </c>
      <c r="P123" s="9"/>
      <c r="Q123" s="13"/>
      <c r="R123" s="9"/>
      <c r="S123" s="14"/>
      <c r="T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10"/>
      <c r="J124" s="9"/>
      <c r="K124" s="9"/>
      <c r="L124" s="9"/>
      <c r="M124" s="9"/>
      <c r="N124" s="15" t="str">
        <f aca="false">IF(A124="","",(J124="Sí")*3+(K124="Sí")*2+(L124="Sí")*2+(M124="Sí")*2+(N(H124)&gt;=50)*1)</f>
        <v/>
      </c>
      <c r="O124" s="15" t="str">
        <f aca="false">IF(N124="","",IF(N124&gt;=6,"ALTA",IF(N124&gt;=3,"MEDIA","BAJA")))</f>
        <v/>
      </c>
      <c r="P124" s="9"/>
      <c r="Q124" s="13"/>
      <c r="R124" s="9"/>
      <c r="S124" s="14"/>
      <c r="T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10"/>
      <c r="J125" s="9"/>
      <c r="K125" s="9"/>
      <c r="L125" s="9"/>
      <c r="M125" s="9"/>
      <c r="N125" s="15" t="str">
        <f aca="false">IF(A125="","",(J125="Sí")*3+(K125="Sí")*2+(L125="Sí")*2+(M125="Sí")*2+(N(H125)&gt;=50)*1)</f>
        <v/>
      </c>
      <c r="O125" s="15" t="str">
        <f aca="false">IF(N125="","",IF(N125&gt;=6,"ALTA",IF(N125&gt;=3,"MEDIA","BAJA")))</f>
        <v/>
      </c>
      <c r="P125" s="9"/>
      <c r="Q125" s="13"/>
      <c r="R125" s="9"/>
      <c r="S125" s="14"/>
      <c r="T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10"/>
      <c r="J126" s="9"/>
      <c r="K126" s="9"/>
      <c r="L126" s="9"/>
      <c r="M126" s="9"/>
      <c r="N126" s="15" t="str">
        <f aca="false">IF(A126="","",(J126="Sí")*3+(K126="Sí")*2+(L126="Sí")*2+(M126="Sí")*2+(N(H126)&gt;=50)*1)</f>
        <v/>
      </c>
      <c r="O126" s="15" t="str">
        <f aca="false">IF(N126="","",IF(N126&gt;=6,"ALTA",IF(N126&gt;=3,"MEDIA","BAJA")))</f>
        <v/>
      </c>
      <c r="P126" s="9"/>
      <c r="Q126" s="13"/>
      <c r="R126" s="9"/>
      <c r="S126" s="14"/>
      <c r="T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10"/>
      <c r="J127" s="9"/>
      <c r="K127" s="9"/>
      <c r="L127" s="9"/>
      <c r="M127" s="9"/>
      <c r="N127" s="15" t="str">
        <f aca="false">IF(A127="","",(J127="Sí")*3+(K127="Sí")*2+(L127="Sí")*2+(M127="Sí")*2+(N(H127)&gt;=50)*1)</f>
        <v/>
      </c>
      <c r="O127" s="15" t="str">
        <f aca="false">IF(N127="","",IF(N127&gt;=6,"ALTA",IF(N127&gt;=3,"MEDIA","BAJA")))</f>
        <v/>
      </c>
      <c r="P127" s="9"/>
      <c r="Q127" s="13"/>
      <c r="R127" s="9"/>
      <c r="S127" s="14"/>
      <c r="T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10"/>
      <c r="J128" s="9"/>
      <c r="K128" s="9"/>
      <c r="L128" s="9"/>
      <c r="M128" s="9"/>
      <c r="N128" s="15" t="str">
        <f aca="false">IF(A128="","",(J128="Sí")*3+(K128="Sí")*2+(L128="Sí")*2+(M128="Sí")*2+(N(H128)&gt;=50)*1)</f>
        <v/>
      </c>
      <c r="O128" s="15" t="str">
        <f aca="false">IF(N128="","",IF(N128&gt;=6,"ALTA",IF(N128&gt;=3,"MEDIA","BAJA")))</f>
        <v/>
      </c>
      <c r="P128" s="9"/>
      <c r="Q128" s="13"/>
      <c r="R128" s="9"/>
      <c r="S128" s="14"/>
      <c r="T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10"/>
      <c r="J129" s="9"/>
      <c r="K129" s="9"/>
      <c r="L129" s="9"/>
      <c r="M129" s="9"/>
      <c r="N129" s="15" t="str">
        <f aca="false">IF(A129="","",(J129="Sí")*3+(K129="Sí")*2+(L129="Sí")*2+(M129="Sí")*2+(N(H129)&gt;=50)*1)</f>
        <v/>
      </c>
      <c r="O129" s="15" t="str">
        <f aca="false">IF(N129="","",IF(N129&gt;=6,"ALTA",IF(N129&gt;=3,"MEDIA","BAJA")))</f>
        <v/>
      </c>
      <c r="P129" s="9"/>
      <c r="Q129" s="13"/>
      <c r="R129" s="9"/>
      <c r="S129" s="14"/>
      <c r="T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10"/>
      <c r="J130" s="9"/>
      <c r="K130" s="9"/>
      <c r="L130" s="9"/>
      <c r="M130" s="9"/>
      <c r="N130" s="15" t="str">
        <f aca="false">IF(A130="","",(J130="Sí")*3+(K130="Sí")*2+(L130="Sí")*2+(M130="Sí")*2+(N(H130)&gt;=50)*1)</f>
        <v/>
      </c>
      <c r="O130" s="15" t="str">
        <f aca="false">IF(N130="","",IF(N130&gt;=6,"ALTA",IF(N130&gt;=3,"MEDIA","BAJA")))</f>
        <v/>
      </c>
      <c r="P130" s="9"/>
      <c r="Q130" s="13"/>
      <c r="R130" s="9"/>
      <c r="S130" s="14"/>
      <c r="T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15" t="str">
        <f aca="false">IF(A131="","",(J131="Sí")*3+(K131="Sí")*2+(L131="Sí")*2+(M131="Sí")*2+(N(H131)&gt;=50)*1)</f>
        <v/>
      </c>
      <c r="O131" s="15" t="str">
        <f aca="false">IF(N131="","",IF(N131&gt;=6,"ALTA",IF(N131&gt;=3,"MEDIA","BAJA")))</f>
        <v/>
      </c>
      <c r="P131" s="9"/>
      <c r="Q131" s="13"/>
      <c r="R131" s="9"/>
      <c r="S131" s="14"/>
      <c r="T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10"/>
      <c r="J132" s="9"/>
      <c r="K132" s="9"/>
      <c r="L132" s="9"/>
      <c r="M132" s="9"/>
      <c r="N132" s="15" t="str">
        <f aca="false">IF(A132="","",(J132="Sí")*3+(K132="Sí")*2+(L132="Sí")*2+(M132="Sí")*2+(N(H132)&gt;=50)*1)</f>
        <v/>
      </c>
      <c r="O132" s="15" t="str">
        <f aca="false">IF(N132="","",IF(N132&gt;=6,"ALTA",IF(N132&gt;=3,"MEDIA","BAJA")))</f>
        <v/>
      </c>
      <c r="P132" s="9"/>
      <c r="Q132" s="13"/>
      <c r="R132" s="9"/>
      <c r="S132" s="14"/>
      <c r="T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10"/>
      <c r="J133" s="9"/>
      <c r="K133" s="9"/>
      <c r="L133" s="9"/>
      <c r="M133" s="9"/>
      <c r="N133" s="15" t="str">
        <f aca="false">IF(A133="","",(J133="Sí")*3+(K133="Sí")*2+(L133="Sí")*2+(M133="Sí")*2+(N(H133)&gt;=50)*1)</f>
        <v/>
      </c>
      <c r="O133" s="15" t="str">
        <f aca="false">IF(N133="","",IF(N133&gt;=6,"ALTA",IF(N133&gt;=3,"MEDIA","BAJA")))</f>
        <v/>
      </c>
      <c r="P133" s="9"/>
      <c r="Q133" s="13"/>
      <c r="R133" s="9"/>
      <c r="S133" s="14"/>
      <c r="T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10"/>
      <c r="J134" s="9"/>
      <c r="K134" s="9"/>
      <c r="L134" s="9"/>
      <c r="M134" s="9"/>
      <c r="N134" s="15" t="str">
        <f aca="false">IF(A134="","",(J134="Sí")*3+(K134="Sí")*2+(L134="Sí")*2+(M134="Sí")*2+(N(H134)&gt;=50)*1)</f>
        <v/>
      </c>
      <c r="O134" s="15" t="str">
        <f aca="false">IF(N134="","",IF(N134&gt;=6,"ALTA",IF(N134&gt;=3,"MEDIA","BAJA")))</f>
        <v/>
      </c>
      <c r="P134" s="9"/>
      <c r="Q134" s="13"/>
      <c r="R134" s="9"/>
      <c r="S134" s="14"/>
      <c r="T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10"/>
      <c r="J135" s="9"/>
      <c r="K135" s="9"/>
      <c r="L135" s="9"/>
      <c r="M135" s="9"/>
      <c r="N135" s="15" t="str">
        <f aca="false">IF(A135="","",(J135="Sí")*3+(K135="Sí")*2+(L135="Sí")*2+(M135="Sí")*2+(N(H135)&gt;=50)*1)</f>
        <v/>
      </c>
      <c r="O135" s="15" t="str">
        <f aca="false">IF(N135="","",IF(N135&gt;=6,"ALTA",IF(N135&gt;=3,"MEDIA","BAJA")))</f>
        <v/>
      </c>
      <c r="P135" s="9"/>
      <c r="Q135" s="13"/>
      <c r="R135" s="9"/>
      <c r="S135" s="14"/>
      <c r="T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10"/>
      <c r="J136" s="9"/>
      <c r="K136" s="9"/>
      <c r="L136" s="9"/>
      <c r="M136" s="9"/>
      <c r="N136" s="15" t="str">
        <f aca="false">IF(A136="","",(J136="Sí")*3+(K136="Sí")*2+(L136="Sí")*2+(M136="Sí")*2+(N(H136)&gt;=50)*1)</f>
        <v/>
      </c>
      <c r="O136" s="15" t="str">
        <f aca="false">IF(N136="","",IF(N136&gt;=6,"ALTA",IF(N136&gt;=3,"MEDIA","BAJA")))</f>
        <v/>
      </c>
      <c r="P136" s="9"/>
      <c r="Q136" s="13"/>
      <c r="R136" s="9"/>
      <c r="S136" s="14"/>
      <c r="T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10"/>
      <c r="J137" s="9"/>
      <c r="K137" s="9"/>
      <c r="L137" s="9"/>
      <c r="M137" s="9"/>
      <c r="N137" s="15" t="str">
        <f aca="false">IF(A137="","",(J137="Sí")*3+(K137="Sí")*2+(L137="Sí")*2+(M137="Sí")*2+(N(H137)&gt;=50)*1)</f>
        <v/>
      </c>
      <c r="O137" s="15" t="str">
        <f aca="false">IF(N137="","",IF(N137&gt;=6,"ALTA",IF(N137&gt;=3,"MEDIA","BAJA")))</f>
        <v/>
      </c>
      <c r="P137" s="9"/>
      <c r="Q137" s="13"/>
      <c r="R137" s="9"/>
      <c r="S137" s="14"/>
      <c r="T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10"/>
      <c r="J138" s="9"/>
      <c r="K138" s="9"/>
      <c r="L138" s="9"/>
      <c r="M138" s="9"/>
      <c r="N138" s="15" t="str">
        <f aca="false">IF(A138="","",(J138="Sí")*3+(K138="Sí")*2+(L138="Sí")*2+(M138="Sí")*2+(N(H138)&gt;=50)*1)</f>
        <v/>
      </c>
      <c r="O138" s="15" t="str">
        <f aca="false">IF(N138="","",IF(N138&gt;=6,"ALTA",IF(N138&gt;=3,"MEDIA","BAJA")))</f>
        <v/>
      </c>
      <c r="P138" s="9"/>
      <c r="Q138" s="13"/>
      <c r="R138" s="9"/>
      <c r="S138" s="14"/>
      <c r="T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10"/>
      <c r="J139" s="9"/>
      <c r="K139" s="9"/>
      <c r="L139" s="9"/>
      <c r="M139" s="9"/>
      <c r="N139" s="15" t="str">
        <f aca="false">IF(A139="","",(J139="Sí")*3+(K139="Sí")*2+(L139="Sí")*2+(M139="Sí")*2+(N(H139)&gt;=50)*1)</f>
        <v/>
      </c>
      <c r="O139" s="15" t="str">
        <f aca="false">IF(N139="","",IF(N139&gt;=6,"ALTA",IF(N139&gt;=3,"MEDIA","BAJA")))</f>
        <v/>
      </c>
      <c r="P139" s="9"/>
      <c r="Q139" s="13"/>
      <c r="R139" s="9"/>
      <c r="S139" s="14"/>
      <c r="T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10"/>
      <c r="J140" s="9"/>
      <c r="K140" s="9"/>
      <c r="L140" s="9"/>
      <c r="M140" s="9"/>
      <c r="N140" s="15" t="str">
        <f aca="false">IF(A140="","",(J140="Sí")*3+(K140="Sí")*2+(L140="Sí")*2+(M140="Sí")*2+(N(H140)&gt;=50)*1)</f>
        <v/>
      </c>
      <c r="O140" s="15" t="str">
        <f aca="false">IF(N140="","",IF(N140&gt;=6,"ALTA",IF(N140&gt;=3,"MEDIA","BAJA")))</f>
        <v/>
      </c>
      <c r="P140" s="9"/>
      <c r="Q140" s="13"/>
      <c r="R140" s="9"/>
      <c r="S140" s="14"/>
      <c r="T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10"/>
      <c r="J141" s="9"/>
      <c r="K141" s="9"/>
      <c r="L141" s="9"/>
      <c r="M141" s="9"/>
      <c r="N141" s="15" t="str">
        <f aca="false">IF(A141="","",(J141="Sí")*3+(K141="Sí")*2+(L141="Sí")*2+(M141="Sí")*2+(N(H141)&gt;=50)*1)</f>
        <v/>
      </c>
      <c r="O141" s="15" t="str">
        <f aca="false">IF(N141="","",IF(N141&gt;=6,"ALTA",IF(N141&gt;=3,"MEDIA","BAJA")))</f>
        <v/>
      </c>
      <c r="P141" s="9"/>
      <c r="Q141" s="13"/>
      <c r="R141" s="9"/>
      <c r="S141" s="14"/>
      <c r="T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10"/>
      <c r="J142" s="9"/>
      <c r="K142" s="9"/>
      <c r="L142" s="9"/>
      <c r="M142" s="9"/>
      <c r="N142" s="15" t="str">
        <f aca="false">IF(A142="","",(J142="Sí")*3+(K142="Sí")*2+(L142="Sí")*2+(M142="Sí")*2+(N(H142)&gt;=50)*1)</f>
        <v/>
      </c>
      <c r="O142" s="15" t="str">
        <f aca="false">IF(N142="","",IF(N142&gt;=6,"ALTA",IF(N142&gt;=3,"MEDIA","BAJA")))</f>
        <v/>
      </c>
      <c r="P142" s="9"/>
      <c r="Q142" s="13"/>
      <c r="R142" s="9"/>
      <c r="S142" s="14"/>
      <c r="T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10"/>
      <c r="J143" s="9"/>
      <c r="K143" s="9"/>
      <c r="L143" s="9"/>
      <c r="M143" s="9"/>
      <c r="N143" s="15" t="str">
        <f aca="false">IF(A143="","",(J143="Sí")*3+(K143="Sí")*2+(L143="Sí")*2+(M143="Sí")*2+(N(H143)&gt;=50)*1)</f>
        <v/>
      </c>
      <c r="O143" s="15" t="str">
        <f aca="false">IF(N143="","",IF(N143&gt;=6,"ALTA",IF(N143&gt;=3,"MEDIA","BAJA")))</f>
        <v/>
      </c>
      <c r="P143" s="9"/>
      <c r="Q143" s="13"/>
      <c r="R143" s="9"/>
      <c r="S143" s="14"/>
      <c r="T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10"/>
      <c r="J144" s="9"/>
      <c r="K144" s="9"/>
      <c r="L144" s="9"/>
      <c r="M144" s="9"/>
      <c r="N144" s="15" t="str">
        <f aca="false">IF(A144="","",(J144="Sí")*3+(K144="Sí")*2+(L144="Sí")*2+(M144="Sí")*2+(N(H144)&gt;=50)*1)</f>
        <v/>
      </c>
      <c r="O144" s="15" t="str">
        <f aca="false">IF(N144="","",IF(N144&gt;=6,"ALTA",IF(N144&gt;=3,"MEDIA","BAJA")))</f>
        <v/>
      </c>
      <c r="P144" s="9"/>
      <c r="Q144" s="13"/>
      <c r="R144" s="9"/>
      <c r="S144" s="14"/>
      <c r="T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10"/>
      <c r="J145" s="9"/>
      <c r="K145" s="9"/>
      <c r="L145" s="9"/>
      <c r="M145" s="9"/>
      <c r="N145" s="15" t="str">
        <f aca="false">IF(A145="","",(J145="Sí")*3+(K145="Sí")*2+(L145="Sí")*2+(M145="Sí")*2+(N(H145)&gt;=50)*1)</f>
        <v/>
      </c>
      <c r="O145" s="15" t="str">
        <f aca="false">IF(N145="","",IF(N145&gt;=6,"ALTA",IF(N145&gt;=3,"MEDIA","BAJA")))</f>
        <v/>
      </c>
      <c r="P145" s="9"/>
      <c r="Q145" s="13"/>
      <c r="R145" s="9"/>
      <c r="S145" s="14"/>
      <c r="T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10"/>
      <c r="J146" s="9"/>
      <c r="K146" s="9"/>
      <c r="L146" s="9"/>
      <c r="M146" s="9"/>
      <c r="N146" s="15" t="str">
        <f aca="false">IF(A146="","",(J146="Sí")*3+(K146="Sí")*2+(L146="Sí")*2+(M146="Sí")*2+(N(H146)&gt;=50)*1)</f>
        <v/>
      </c>
      <c r="O146" s="15" t="str">
        <f aca="false">IF(N146="","",IF(N146&gt;=6,"ALTA",IF(N146&gt;=3,"MEDIA","BAJA")))</f>
        <v/>
      </c>
      <c r="P146" s="9"/>
      <c r="Q146" s="13"/>
      <c r="R146" s="9"/>
      <c r="S146" s="14"/>
      <c r="T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10"/>
      <c r="J147" s="9"/>
      <c r="K147" s="9"/>
      <c r="L147" s="9"/>
      <c r="M147" s="9"/>
      <c r="N147" s="15" t="str">
        <f aca="false">IF(A147="","",(J147="Sí")*3+(K147="Sí")*2+(L147="Sí")*2+(M147="Sí")*2+(N(H147)&gt;=50)*1)</f>
        <v/>
      </c>
      <c r="O147" s="15" t="str">
        <f aca="false">IF(N147="","",IF(N147&gt;=6,"ALTA",IF(N147&gt;=3,"MEDIA","BAJA")))</f>
        <v/>
      </c>
      <c r="P147" s="9"/>
      <c r="Q147" s="13"/>
      <c r="R147" s="9"/>
      <c r="S147" s="14"/>
      <c r="T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10"/>
      <c r="J148" s="9"/>
      <c r="K148" s="9"/>
      <c r="L148" s="9"/>
      <c r="M148" s="9"/>
      <c r="N148" s="15" t="str">
        <f aca="false">IF(A148="","",(J148="Sí")*3+(K148="Sí")*2+(L148="Sí")*2+(M148="Sí")*2+(N(H148)&gt;=50)*1)</f>
        <v/>
      </c>
      <c r="O148" s="15" t="str">
        <f aca="false">IF(N148="","",IF(N148&gt;=6,"ALTA",IF(N148&gt;=3,"MEDIA","BAJA")))</f>
        <v/>
      </c>
      <c r="P148" s="9"/>
      <c r="Q148" s="13"/>
      <c r="R148" s="9"/>
      <c r="S148" s="14"/>
      <c r="T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10"/>
      <c r="J149" s="9"/>
      <c r="K149" s="9"/>
      <c r="L149" s="9"/>
      <c r="M149" s="9"/>
      <c r="N149" s="15" t="str">
        <f aca="false">IF(A149="","",(J149="Sí")*3+(K149="Sí")*2+(L149="Sí")*2+(M149="Sí")*2+(N(H149)&gt;=50)*1)</f>
        <v/>
      </c>
      <c r="O149" s="15" t="str">
        <f aca="false">IF(N149="","",IF(N149&gt;=6,"ALTA",IF(N149&gt;=3,"MEDIA","BAJA")))</f>
        <v/>
      </c>
      <c r="P149" s="9"/>
      <c r="Q149" s="13"/>
      <c r="R149" s="9"/>
      <c r="S149" s="14"/>
      <c r="T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10"/>
      <c r="J150" s="9"/>
      <c r="K150" s="9"/>
      <c r="L150" s="9"/>
      <c r="M150" s="9"/>
      <c r="N150" s="15" t="str">
        <f aca="false">IF(A150="","",(J150="Sí")*3+(K150="Sí")*2+(L150="Sí")*2+(M150="Sí")*2+(N(H150)&gt;=50)*1)</f>
        <v/>
      </c>
      <c r="O150" s="15" t="str">
        <f aca="false">IF(N150="","",IF(N150&gt;=6,"ALTA",IF(N150&gt;=3,"MEDIA","BAJA")))</f>
        <v/>
      </c>
      <c r="P150" s="9"/>
      <c r="Q150" s="13"/>
      <c r="R150" s="9"/>
      <c r="S150" s="14"/>
      <c r="T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10"/>
      <c r="J151" s="9"/>
      <c r="K151" s="9"/>
      <c r="L151" s="9"/>
      <c r="M151" s="9"/>
      <c r="N151" s="15" t="str">
        <f aca="false">IF(A151="","",(J151="Sí")*3+(K151="Sí")*2+(L151="Sí")*2+(M151="Sí")*2+(N(H151)&gt;=50)*1)</f>
        <v/>
      </c>
      <c r="O151" s="15" t="str">
        <f aca="false">IF(N151="","",IF(N151&gt;=6,"ALTA",IF(N151&gt;=3,"MEDIA","BAJA")))</f>
        <v/>
      </c>
      <c r="P151" s="9"/>
      <c r="Q151" s="13"/>
      <c r="R151" s="9"/>
      <c r="S151" s="14"/>
      <c r="T151" s="9"/>
    </row>
  </sheetData>
  <autoFilter ref="A1:T151"/>
  <conditionalFormatting sqref="O2:O151">
    <cfRule type="cellIs" priority="2" operator="equal" aboveAverage="0" equalAverage="0" bottom="0" percent="0" rank="0" text="" dxfId="6">
      <formula>"ALTA"</formula>
    </cfRule>
    <cfRule type="cellIs" priority="3" operator="equal" aboveAverage="0" equalAverage="0" bottom="0" percent="0" rank="0" text="" dxfId="7">
      <formula>"MEDIA"</formula>
    </cfRule>
    <cfRule type="cellIs" priority="4" operator="equal" aboveAverage="0" equalAverage="0" bottom="0" percent="0" rank="0" text="" dxfId="8">
      <formula>"BAJA"</formula>
    </cfRule>
  </conditionalFormatting>
  <conditionalFormatting sqref="P2:P151">
    <cfRule type="cellIs" priority="5" operator="equal" aboveAverage="0" equalAverage="0" bottom="0" percent="0" rank="0" text="" dxfId="9">
      <formula>"Cliente"</formula>
    </cfRule>
  </conditionalFormatting>
  <dataValidations count="3">
    <dataValidation allowBlank="true" errorStyle="stop" operator="between" showDropDown="false" showErrorMessage="false" showInputMessage="false" sqref="J2:M151" type="list">
      <formula1>"Sí,No"</formula1>
      <formula2>0</formula2>
    </dataValidation>
    <dataValidation allowBlank="true" errorStyle="stop" operator="between" showDropDown="false" showErrorMessage="false" showInputMessage="false" sqref="P2:P151" type="list">
      <formula1>"Pendiente,Contactado,Interesado,Cliente,No interesado"</formula1>
      <formula2>0</formula2>
    </dataValidation>
    <dataValidation allowBlank="true" errorStyle="stop" operator="between" showDropDown="false" showErrorMessage="false" showInputMessage="false" sqref="B2:B151" type="list">
      <formula1>"Bar,Cafetería,Restaurante,Peluquería,Barbería,Estética,Taller,Gimnasio,Fisioterapia,Tienda,Panadería,Otro"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4" t="s">
        <v>89</v>
      </c>
    </row>
    <row r="3" customFormat="false" ht="15" hidden="false" customHeight="false" outlineLevel="0" collapsed="false">
      <c r="A3" s="5" t="s">
        <v>73</v>
      </c>
      <c r="B3" s="5" t="s">
        <v>90</v>
      </c>
      <c r="C3" s="5" t="s">
        <v>91</v>
      </c>
    </row>
    <row r="4" customFormat="false" ht="15" hidden="false" customHeight="false" outlineLevel="0" collapsed="false">
      <c r="A4" s="11" t="s">
        <v>92</v>
      </c>
      <c r="B4" s="15" t="n">
        <f aca="false">COUNTA(Prospectos!$A$2:$A$151)</f>
        <v>1</v>
      </c>
      <c r="C4" s="16" t="n">
        <f aca="false">IF($B$4=0,0,1)</f>
        <v>1</v>
      </c>
    </row>
    <row r="5" customFormat="false" ht="15" hidden="false" customHeight="false" outlineLevel="0" collapsed="false">
      <c r="A5" s="11" t="s">
        <v>93</v>
      </c>
      <c r="B5" s="15" t="n">
        <f aca="false">COUNTIF(Prospectos!$P$2:$P$151,"Pendiente")</f>
        <v>0</v>
      </c>
      <c r="C5" s="16" t="n">
        <f aca="false">IF($B$4=0,0,B5/$B$4)</f>
        <v>0</v>
      </c>
    </row>
    <row r="6" customFormat="false" ht="15" hidden="false" customHeight="false" outlineLevel="0" collapsed="false">
      <c r="A6" s="11" t="s">
        <v>86</v>
      </c>
      <c r="B6" s="15" t="n">
        <f aca="false">COUNTIF(Prospectos!$P$2:$P$151,"Contactado")</f>
        <v>1</v>
      </c>
      <c r="C6" s="16" t="n">
        <f aca="false">IF($B$4=0,0,B6/$B$4)</f>
        <v>1</v>
      </c>
    </row>
    <row r="7" customFormat="false" ht="15" hidden="false" customHeight="false" outlineLevel="0" collapsed="false">
      <c r="A7" s="11" t="s">
        <v>94</v>
      </c>
      <c r="B7" s="15" t="n">
        <f aca="false">COUNTIF(Prospectos!$P$2:$P$151,"Interesado")</f>
        <v>0</v>
      </c>
      <c r="C7" s="16" t="n">
        <f aca="false">IF($B$4=0,0,B7/$B$4)</f>
        <v>0</v>
      </c>
    </row>
    <row r="8" customFormat="false" ht="15" hidden="false" customHeight="false" outlineLevel="0" collapsed="false">
      <c r="A8" s="11" t="s">
        <v>95</v>
      </c>
      <c r="B8" s="15" t="n">
        <f aca="false">COUNTIF(Prospectos!$P$2:$P$151,"Cliente")</f>
        <v>0</v>
      </c>
      <c r="C8" s="16" t="n">
        <f aca="false">IF($B$4=0,0,B8/$B$4)</f>
        <v>0</v>
      </c>
    </row>
    <row r="9" customFormat="false" ht="15" hidden="false" customHeight="false" outlineLevel="0" collapsed="false">
      <c r="A9" s="11" t="s">
        <v>96</v>
      </c>
      <c r="B9" s="15" t="n">
        <f aca="false">COUNTIF(Prospectos!$P$2:$P$151,"No interesado")</f>
        <v>0</v>
      </c>
      <c r="C9" s="16" t="n">
        <f aca="false">IF($B$4=0,0,B9/$B$4)</f>
        <v>0</v>
      </c>
    </row>
    <row r="10" customFormat="false" ht="15" hidden="false" customHeight="false" outlineLevel="0" collapsed="false">
      <c r="A10" s="7"/>
      <c r="B10" s="17"/>
      <c r="C10" s="17"/>
    </row>
    <row r="11" customFormat="false" ht="15" hidden="false" customHeight="false" outlineLevel="0" collapsed="false">
      <c r="A11" s="7" t="s">
        <v>97</v>
      </c>
      <c r="B11" s="18" t="n">
        <f aca="false">IF((B6+B7+B8+B9)=0,0,B8/(B6+B7+B8+B9))</f>
        <v>0</v>
      </c>
      <c r="C11" s="17"/>
    </row>
    <row r="12" customFormat="false" ht="15" hidden="false" customHeight="false" outlineLevel="0" collapsed="false">
      <c r="A12" s="7" t="s">
        <v>98</v>
      </c>
      <c r="B12" s="19" t="n">
        <f aca="false">SUM(Prospectos!$S$2:$S$151)</f>
        <v>0</v>
      </c>
      <c r="C12" s="17"/>
    </row>
    <row r="13" customFormat="false" ht="15" hidden="false" customHeight="false" outlineLevel="0" collapsed="false">
      <c r="A13" s="7" t="s">
        <v>99</v>
      </c>
      <c r="B13" s="20" t="n">
        <f aca="false">COUNTIFS(Prospectos!$O$2:$O$151,"ALTA",Prospectos!$P$2:$P$151,"Pendiente")+COUNTIFS(Prospectos!$O$2:$O$151,"ALTA",Prospectos!$P$2:$P$151,"")</f>
        <v>0</v>
      </c>
      <c r="C13" s="17"/>
    </row>
    <row r="15" customFormat="false" ht="15" hidden="false" customHeight="false" outlineLevel="0" collapsed="false">
      <c r="A15" s="2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2026-10-29T12:16:47Z</dcterms:created>
  <dc:creator>openpyxl</dc:creator>
  <dc:description/>
  <dc:language>en-US</dc:language>
  <cp:lastModifiedBy/>
  <dcterms:modified xsi:type="dcterms:W3CDTF">2026-10-29T12:16:47Z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